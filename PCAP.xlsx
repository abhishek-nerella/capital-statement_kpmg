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dmin/capital-statement_kpmg/"/>
    </mc:Choice>
  </mc:AlternateContent>
  <xr:revisionPtr revIDLastSave="0" documentId="8_{ABF06080-90FB-D84C-B5D7-AD09B463450E}" xr6:coauthVersionLast="47" xr6:coauthVersionMax="47" xr10:uidLastSave="{00000000-0000-0000-0000-000000000000}"/>
  <bookViews>
    <workbookView xWindow="0" yWindow="0" windowWidth="28800" windowHeight="18000" xr2:uid="{95D81A7B-82DF-B04C-9030-EB10DCBAF23B}"/>
  </bookViews>
  <sheets>
    <sheet name="PCAP (2)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W10" i="1" l="1"/>
  <c r="CI10" i="1"/>
  <c r="CH10" i="1"/>
  <c r="CG10" i="1"/>
  <c r="CE10" i="1"/>
  <c r="CC10" i="1"/>
  <c r="CB10" i="1"/>
  <c r="CA10" i="1"/>
  <c r="BZ10" i="1"/>
  <c r="BX10" i="1"/>
  <c r="BO10" i="1"/>
  <c r="BM10" i="1"/>
  <c r="BL10" i="1"/>
  <c r="BK10" i="1"/>
  <c r="BJ10" i="1"/>
  <c r="BH10" i="1"/>
  <c r="BF10" i="1"/>
  <c r="BE10" i="1"/>
  <c r="BD10" i="1"/>
  <c r="BC10" i="1"/>
  <c r="BA10" i="1"/>
  <c r="AR10" i="1"/>
  <c r="AP10" i="1"/>
  <c r="AO10" i="1"/>
  <c r="AN10" i="1"/>
  <c r="AM10" i="1"/>
  <c r="AK10" i="1"/>
  <c r="AI10" i="1"/>
  <c r="AH10" i="1"/>
  <c r="AG10" i="1"/>
  <c r="AF10" i="1"/>
  <c r="U10" i="1"/>
  <c r="S10" i="1"/>
  <c r="R10" i="1"/>
  <c r="Q10" i="1"/>
  <c r="P10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F9" i="1"/>
  <c r="DE9" i="1"/>
  <c r="CZ9" i="1"/>
  <c r="CY9" i="1"/>
  <c r="CX9" i="1"/>
  <c r="CW9" i="1"/>
  <c r="CV9" i="1"/>
  <c r="CU9" i="1"/>
  <c r="CT9" i="1"/>
  <c r="CS9" i="1"/>
  <c r="CR9" i="1"/>
  <c r="CK9" i="1"/>
  <c r="CJ9" i="1"/>
  <c r="BU9" i="1"/>
  <c r="BN9" i="1"/>
  <c r="AX9" i="1"/>
  <c r="AQ9" i="1"/>
  <c r="AB9" i="1"/>
  <c r="AA9" i="1"/>
  <c r="T9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F8" i="1"/>
  <c r="DE8" i="1"/>
  <c r="CZ8" i="1"/>
  <c r="CY8" i="1"/>
  <c r="CX8" i="1"/>
  <c r="CW8" i="1"/>
  <c r="CV8" i="1"/>
  <c r="CU8" i="1"/>
  <c r="CT8" i="1"/>
  <c r="CS8" i="1"/>
  <c r="CR8" i="1"/>
  <c r="CQ8" i="1"/>
  <c r="CP8" i="1"/>
  <c r="CO8" i="1"/>
  <c r="CK8" i="1"/>
  <c r="CJ8" i="1"/>
  <c r="BU8" i="1"/>
  <c r="BN8" i="1"/>
  <c r="AX8" i="1"/>
  <c r="AQ8" i="1"/>
  <c r="AB8" i="1"/>
  <c r="AA8" i="1"/>
  <c r="T8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F7" i="1"/>
  <c r="DE7" i="1"/>
  <c r="CZ7" i="1"/>
  <c r="CY7" i="1"/>
  <c r="CX7" i="1"/>
  <c r="CW7" i="1"/>
  <c r="CV7" i="1"/>
  <c r="CU7" i="1"/>
  <c r="CT7" i="1"/>
  <c r="CS7" i="1"/>
  <c r="CR7" i="1"/>
  <c r="CQ7" i="1"/>
  <c r="CP7" i="1"/>
  <c r="CO7" i="1"/>
  <c r="CK7" i="1"/>
  <c r="CJ7" i="1"/>
  <c r="BU7" i="1"/>
  <c r="BN7" i="1"/>
  <c r="AX7" i="1"/>
  <c r="AQ7" i="1"/>
  <c r="AB7" i="1"/>
  <c r="AA7" i="1"/>
  <c r="T7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F6" i="1"/>
  <c r="DE6" i="1"/>
  <c r="CZ6" i="1"/>
  <c r="CY6" i="1"/>
  <c r="CX6" i="1"/>
  <c r="CW6" i="1"/>
  <c r="CV6" i="1"/>
  <c r="CU6" i="1"/>
  <c r="CT6" i="1"/>
  <c r="CS6" i="1"/>
  <c r="CR6" i="1"/>
  <c r="CQ6" i="1"/>
  <c r="CP6" i="1"/>
  <c r="CO6" i="1"/>
  <c r="CK6" i="1"/>
  <c r="CJ6" i="1"/>
  <c r="BU6" i="1"/>
  <c r="BN6" i="1"/>
  <c r="AX6" i="1"/>
  <c r="AQ6" i="1"/>
  <c r="AB6" i="1"/>
  <c r="AA6" i="1"/>
  <c r="T6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F5" i="1"/>
  <c r="DE5" i="1"/>
  <c r="CZ5" i="1"/>
  <c r="CY5" i="1"/>
  <c r="CX5" i="1"/>
  <c r="CW5" i="1"/>
  <c r="CV5" i="1"/>
  <c r="CU5" i="1"/>
  <c r="CT5" i="1"/>
  <c r="CS5" i="1"/>
  <c r="CR5" i="1"/>
  <c r="CL5" i="1"/>
  <c r="CK5" i="1"/>
  <c r="CJ5" i="1"/>
  <c r="BU5" i="1"/>
  <c r="BN5" i="1"/>
  <c r="AX5" i="1"/>
  <c r="AQ5" i="1"/>
  <c r="AB5" i="1"/>
  <c r="AA5" i="1"/>
  <c r="T5" i="1"/>
  <c r="CR10" i="1" l="1"/>
  <c r="CO10" i="1"/>
  <c r="CL10" i="1"/>
  <c r="CK10" i="1"/>
  <c r="CJ10" i="1"/>
  <c r="BN10" i="1"/>
  <c r="AQ10" i="1"/>
  <c r="T10" i="1"/>
  <c r="DG7" i="1"/>
  <c r="BV7" i="1"/>
  <c r="EG6" i="1"/>
  <c r="CD8" i="1"/>
  <c r="CF8" i="1" s="1"/>
  <c r="BG8" i="1"/>
  <c r="BI8" i="1" s="1"/>
  <c r="AJ8" i="1"/>
  <c r="AL8" i="1" s="1"/>
  <c r="L8" i="1"/>
  <c r="I8" i="1"/>
  <c r="BV5" i="1"/>
  <c r="CD5" i="1"/>
  <c r="AJ5" i="1"/>
  <c r="CD9" i="1"/>
  <c r="CF9" i="1" s="1"/>
  <c r="BG9" i="1"/>
  <c r="BI9" i="1" s="1"/>
  <c r="AJ9" i="1"/>
  <c r="AL9" i="1" s="1"/>
  <c r="M9" i="1"/>
  <c r="L9" i="1"/>
  <c r="K9" i="1"/>
  <c r="I9" i="1"/>
  <c r="H9" i="1"/>
  <c r="F9" i="1"/>
  <c r="DG5" i="1"/>
  <c r="CY10" i="1"/>
  <c r="CX10" i="1"/>
  <c r="DG9" i="1"/>
  <c r="BV8" i="1"/>
  <c r="EG7" i="1"/>
  <c r="CD7" i="1"/>
  <c r="CF7" i="1" s="1"/>
  <c r="BG7" i="1"/>
  <c r="BI7" i="1" s="1"/>
  <c r="AJ7" i="1"/>
  <c r="AL7" i="1" s="1"/>
  <c r="DG6" i="1"/>
  <c r="CD6" i="1"/>
  <c r="CF6" i="1" s="1"/>
  <c r="BV6" i="1"/>
  <c r="BG6" i="1"/>
  <c r="BI6" i="1" s="1"/>
  <c r="AJ6" i="1"/>
  <c r="AL6" i="1" s="1"/>
  <c r="EG5" i="1"/>
  <c r="CO5" i="1"/>
  <c r="BG5" i="1"/>
  <c r="CO9" i="1"/>
  <c r="EG9" i="1"/>
  <c r="BV9" i="1"/>
  <c r="EG8" i="1"/>
  <c r="DG8" i="1"/>
  <c r="DA7" i="1" l="1"/>
  <c r="F8" i="1"/>
  <c r="H8" i="1"/>
  <c r="K8" i="1"/>
  <c r="M8" i="1"/>
  <c r="DA5" i="1"/>
  <c r="CF5" i="1"/>
  <c r="CD10" i="1"/>
  <c r="AJ10" i="1"/>
  <c r="AL5" i="1"/>
  <c r="DA8" i="1"/>
  <c r="F7" i="1"/>
  <c r="H7" i="1"/>
  <c r="I7" i="1"/>
  <c r="K7" i="1"/>
  <c r="L7" i="1"/>
  <c r="M7" i="1"/>
  <c r="DA6" i="1"/>
  <c r="F6" i="1"/>
  <c r="H6" i="1"/>
  <c r="I6" i="1"/>
  <c r="K6" i="1"/>
  <c r="L6" i="1"/>
  <c r="M6" i="1"/>
  <c r="BI5" i="1"/>
  <c r="BG10" i="1"/>
  <c r="DA9" i="1"/>
  <c r="CT10" i="1"/>
  <c r="EG10" i="1"/>
  <c r="CF10" i="1" l="1"/>
  <c r="BP5" i="1"/>
  <c r="BQ5" i="1"/>
  <c r="BR5" i="1"/>
  <c r="BS5" i="1"/>
  <c r="F5" i="1"/>
  <c r="H5" i="1"/>
  <c r="I5" i="1"/>
  <c r="K5" i="1"/>
  <c r="L5" i="1"/>
  <c r="M5" i="1"/>
  <c r="W5" i="1"/>
  <c r="AD5" i="1"/>
  <c r="N5" i="1" s="1"/>
  <c r="AL10" i="1"/>
  <c r="BI10" i="1"/>
  <c r="AT5" i="1"/>
  <c r="AW5" i="1" s="1"/>
  <c r="DA10" i="1"/>
  <c r="BS8" i="1" l="1"/>
  <c r="BR8" i="1"/>
  <c r="BQ8" i="1"/>
  <c r="BP8" i="1"/>
  <c r="BT8" i="1" s="1"/>
  <c r="BS6" i="1"/>
  <c r="BR6" i="1"/>
  <c r="BQ6" i="1"/>
  <c r="BP6" i="1"/>
  <c r="BT6" i="1" s="1"/>
  <c r="BS7" i="1"/>
  <c r="BQ7" i="1"/>
  <c r="BR7" i="1"/>
  <c r="BP7" i="1"/>
  <c r="BT7" i="1" s="1"/>
  <c r="BP9" i="1"/>
  <c r="BR9" i="1"/>
  <c r="BS9" i="1"/>
  <c r="BQ9" i="1"/>
  <c r="Z5" i="1"/>
  <c r="G5" i="1"/>
  <c r="J5" i="1" s="1"/>
  <c r="AD6" i="1"/>
  <c r="N6" i="1" s="1"/>
  <c r="W8" i="1"/>
  <c r="W6" i="1"/>
  <c r="AD7" i="1"/>
  <c r="N7" i="1" s="1"/>
  <c r="W7" i="1"/>
  <c r="W9" i="1"/>
  <c r="AD9" i="1"/>
  <c r="N9" i="1" s="1"/>
  <c r="AD8" i="1"/>
  <c r="N8" i="1" s="1"/>
  <c r="AT6" i="1"/>
  <c r="AW6" i="1" s="1"/>
  <c r="BB6" i="1" s="1"/>
  <c r="AT8" i="1"/>
  <c r="AW8" i="1" s="1"/>
  <c r="BB8" i="1" s="1"/>
  <c r="AT7" i="1"/>
  <c r="AW7" i="1" s="1"/>
  <c r="BB7" i="1" s="1"/>
  <c r="AT9" i="1"/>
  <c r="AW9" i="1" s="1"/>
  <c r="BB9" i="1" s="1"/>
  <c r="AW10" i="1"/>
  <c r="BB5" i="1"/>
  <c r="BB10" i="1" s="1"/>
  <c r="BT5" i="1"/>
  <c r="EH8" i="1" l="1"/>
  <c r="BW8" i="1"/>
  <c r="EH6" i="1"/>
  <c r="BW6" i="1"/>
  <c r="EJ7" i="1"/>
  <c r="EH7" i="1"/>
  <c r="BW7" i="1"/>
  <c r="AE5" i="1"/>
  <c r="G8" i="1"/>
  <c r="J8" i="1" s="1"/>
  <c r="Z8" i="1"/>
  <c r="AE8" i="1" s="1"/>
  <c r="G6" i="1"/>
  <c r="J6" i="1" s="1"/>
  <c r="Z6" i="1"/>
  <c r="AE6" i="1" s="1"/>
  <c r="G7" i="1"/>
  <c r="J7" i="1" s="1"/>
  <c r="Z7" i="1"/>
  <c r="AE7" i="1" s="1"/>
  <c r="Z9" i="1"/>
  <c r="AE9" i="1" s="1"/>
  <c r="G9" i="1"/>
  <c r="J9" i="1" s="1"/>
  <c r="BW5" i="1"/>
  <c r="EH5" i="1"/>
  <c r="BT9" i="1"/>
  <c r="EI8" i="1" l="1"/>
  <c r="EJ8" i="1" s="1"/>
  <c r="EK8" i="1"/>
  <c r="EL8" i="1"/>
  <c r="DD8" i="1"/>
  <c r="DC8" i="1"/>
  <c r="DB8" i="1"/>
  <c r="EL6" i="1"/>
  <c r="EK6" i="1"/>
  <c r="EI6" i="1"/>
  <c r="EJ6" i="1" s="1"/>
  <c r="DD6" i="1"/>
  <c r="DC6" i="1"/>
  <c r="DB6" i="1"/>
  <c r="EK7" i="1"/>
  <c r="EI7" i="1"/>
  <c r="EL7" i="1"/>
  <c r="DC7" i="1"/>
  <c r="DD7" i="1"/>
  <c r="DB7" i="1"/>
  <c r="AE10" i="1"/>
  <c r="DD5" i="1"/>
  <c r="DC5" i="1"/>
  <c r="DB5" i="1"/>
  <c r="EI5" i="1"/>
  <c r="EK5" i="1"/>
  <c r="EL5" i="1"/>
  <c r="BW9" i="1"/>
  <c r="EJ9" i="1"/>
  <c r="EH9" i="1"/>
  <c r="BY5" i="1"/>
  <c r="BY8" i="1"/>
  <c r="BY6" i="1"/>
  <c r="BY7" i="1"/>
  <c r="Z10" i="1"/>
  <c r="BT10" i="1"/>
  <c r="CN8" i="1" l="1"/>
  <c r="CN9" i="1"/>
  <c r="CN7" i="1"/>
  <c r="CN6" i="1"/>
  <c r="CN10" i="1"/>
  <c r="EJ5" i="1"/>
  <c r="EJ10" i="1" s="1"/>
  <c r="DC9" i="1"/>
  <c r="DC10" i="1" s="1"/>
  <c r="DD9" i="1"/>
  <c r="DD10" i="1" s="1"/>
  <c r="DB9" i="1"/>
  <c r="DB10" i="1" s="1"/>
  <c r="EI9" i="1"/>
  <c r="EL9" i="1"/>
  <c r="EK9" i="1"/>
  <c r="EK10" i="1" s="1"/>
  <c r="CQ5" i="1"/>
  <c r="CP5" i="1"/>
  <c r="BY9" i="1"/>
  <c r="CN5" i="1"/>
  <c r="CS10" i="1" s="1"/>
  <c r="EH10" i="1"/>
  <c r="CQ9" i="1" l="1"/>
  <c r="CP9" i="1"/>
  <c r="CU10" i="1" s="1"/>
  <c r="EI10" i="1"/>
  <c r="BY10" i="1"/>
  <c r="CQ10" i="1" l="1"/>
  <c r="CP10" i="1"/>
</calcChain>
</file>

<file path=xl/sharedStrings.xml><?xml version="1.0" encoding="utf-8"?>
<sst xmlns="http://schemas.openxmlformats.org/spreadsheetml/2006/main" count="153" uniqueCount="151">
  <si>
    <t>LOCK-UP &amp; REDEMPTION TERMS</t>
  </si>
  <si>
    <t>SIDE LETTER TERMS</t>
  </si>
  <si>
    <t>WATERFALL &amp; FEE PARAMETERS</t>
  </si>
  <si>
    <t>Investor Name - Legal Name from Master List</t>
  </si>
  <si>
    <t>Beginning Partner's Capital Unit Price</t>
  </si>
  <si>
    <t xml:space="preserve">Transfer of Units Price In
</t>
  </si>
  <si>
    <t xml:space="preserve">Transfer of Units Price Out
</t>
  </si>
  <si>
    <t>Capital Contribution Unit Price</t>
  </si>
  <si>
    <t>Investment and other Income Unit Price</t>
  </si>
  <si>
    <t>Fund Level Expense Unit Price</t>
  </si>
  <si>
    <t>Net Unrealized Gain(Loss) Unit Price</t>
  </si>
  <si>
    <t>Net Realized Gain (Loss) Unit Price</t>
  </si>
  <si>
    <t>Partner's Equity before distributions Unit Price</t>
  </si>
  <si>
    <t>Distr Declared to LPs Unit Price</t>
  </si>
  <si>
    <t>Distr Redirected to Mgr for Fees Unit Price</t>
  </si>
  <si>
    <t>Incentive Fee Unit Price</t>
  </si>
  <si>
    <t>Reduction of distributions for investor specific taxes Unit Price</t>
  </si>
  <si>
    <t>Ending Partner's Capital Unit Price</t>
  </si>
  <si>
    <t>Beginning Partner's Capital CQ</t>
  </si>
  <si>
    <t>Transfer of Units In CQ</t>
  </si>
  <si>
    <t>Transfer of Units Out CQ</t>
  </si>
  <si>
    <t>Capital Contribution CQ</t>
  </si>
  <si>
    <t>Contr from Div Reinvest CQ</t>
  </si>
  <si>
    <t>Capital Redemption CQ</t>
  </si>
  <si>
    <t>Investment Income (Loss Before Fees) CQ</t>
  </si>
  <si>
    <t>Fund Level Expense CQ</t>
  </si>
  <si>
    <t>Net Unrealized Gain(Loss) CQ</t>
  </si>
  <si>
    <t>Net Realized Gain (Loss) CQ</t>
  </si>
  <si>
    <t>Partner's Equity before distributions CQ</t>
  </si>
  <si>
    <t>Distr Declared to LPs CQ</t>
  </si>
  <si>
    <t>Distri Redirected to Mgr for Fees CQ</t>
  </si>
  <si>
    <t>Incentive Fee CQ</t>
  </si>
  <si>
    <t>Reduction of distributions for investor specific taxes CQ</t>
  </si>
  <si>
    <t>Ending Partner's Capital CQ</t>
  </si>
  <si>
    <t>Beginning Partner's Capital Units CQ</t>
  </si>
  <si>
    <t>Transfer Units In CQ</t>
  </si>
  <si>
    <t>Transfer Units Out CQ</t>
  </si>
  <si>
    <t>Capital Contribution Units CQ</t>
  </si>
  <si>
    <t>Contr from Div Reinvest Units CQ</t>
  </si>
  <si>
    <t>Capital Redemption Units CQ</t>
  </si>
  <si>
    <t>Ending Partner's Capital Units CQ</t>
  </si>
  <si>
    <t>Beginning Partner's Capital YTD</t>
  </si>
  <si>
    <t>Transfer of Units In YTD</t>
  </si>
  <si>
    <t>Transfer of Units Out YTD</t>
  </si>
  <si>
    <t>Capital Contribution YTD</t>
  </si>
  <si>
    <t>Contr from Div Reinvest YTD</t>
  </si>
  <si>
    <t>Capital Redemption YTD</t>
  </si>
  <si>
    <t>Investment Income (Loss Before Fees) YTD</t>
  </si>
  <si>
    <t>Fund Level Expense YTD</t>
  </si>
  <si>
    <t>Net Unrealized Gain(Loss) YTD</t>
  </si>
  <si>
    <t>Net Realized Gain (Loss) YTD</t>
  </si>
  <si>
    <t>Partner's Capital before Dividends YTD</t>
  </si>
  <si>
    <t>Distr Declared to LPs YTD</t>
  </si>
  <si>
    <t>Distr Redirected to Mgr for Fees YTD</t>
  </si>
  <si>
    <t>Incentive Fee YTD</t>
  </si>
  <si>
    <t>Reduction of distributions for investor specific taxes YTD</t>
  </si>
  <si>
    <t>Ending Partner's Capital YTD</t>
  </si>
  <si>
    <t>Beginning Partner's Capital Units YTD</t>
  </si>
  <si>
    <t>Transfer Units In YTD</t>
  </si>
  <si>
    <t>Transfer Units Out YTD</t>
  </si>
  <si>
    <t>Capital Contribution Units YTD</t>
  </si>
  <si>
    <t>Contr from Div Reinvest Units YTD</t>
  </si>
  <si>
    <t>Capital Redemption Units YTD</t>
  </si>
  <si>
    <t>Ending Partner's Capital Units YTD</t>
  </si>
  <si>
    <t>Beginning Partner's Capital ITD</t>
  </si>
  <si>
    <t>Transfer of Units In ITD</t>
  </si>
  <si>
    <t>Transfer of Units Out ITD</t>
  </si>
  <si>
    <t>Capital Contribution ITD</t>
  </si>
  <si>
    <t>Contr from Div Reinvest ITD</t>
  </si>
  <si>
    <t>Capital Redemption ITD</t>
  </si>
  <si>
    <t>Investment Income (Loss Before Fees) ITD</t>
  </si>
  <si>
    <t>Fund Level Expense ITD</t>
  </si>
  <si>
    <t>Net Unrealized Gain(Loss) ITD</t>
  </si>
  <si>
    <t>Net Realized Gain (Loss) ITD</t>
  </si>
  <si>
    <t>Partner's Capital before Dividend ITD</t>
  </si>
  <si>
    <t>Distr Declared to LPs ITD</t>
  </si>
  <si>
    <t>Distri Redirected to Mgr for Fee ITD</t>
  </si>
  <si>
    <t>Incentive Fees ITD</t>
  </si>
  <si>
    <t>Reduction of distributions for Investor specific taxes ITD</t>
  </si>
  <si>
    <t>Ending Partner's Capital ITD</t>
  </si>
  <si>
    <t>Beginning Partner's Capital Units ITD</t>
  </si>
  <si>
    <t>Transfer Units In ITD</t>
  </si>
  <si>
    <t>Transfer Units Out ITD</t>
  </si>
  <si>
    <t>Capital Contribution Units ITD</t>
  </si>
  <si>
    <t>Contr from Div Reinvest Units ITD</t>
  </si>
  <si>
    <t>Capital Redemption Units ITD</t>
  </si>
  <si>
    <t>Ending Partner's Capital Units ITD</t>
  </si>
  <si>
    <t>Total Capital Commitment</t>
  </si>
  <si>
    <t>Funded Capital Commitment</t>
  </si>
  <si>
    <t>Transfer of Commitment</t>
  </si>
  <si>
    <t>Available Commitment</t>
  </si>
  <si>
    <t>Gross IRR</t>
  </si>
  <si>
    <t>Net IRR</t>
  </si>
  <si>
    <t>Investor Inception Date</t>
  </si>
  <si>
    <t>% of Fund AUM</t>
  </si>
  <si>
    <t>DPI</t>
  </si>
  <si>
    <t>RVPI</t>
  </si>
  <si>
    <t>TVPI</t>
  </si>
  <si>
    <t>Commitment Funded %</t>
  </si>
  <si>
    <t>Unrealized Gain CQ ($)</t>
  </si>
  <si>
    <t>Realized Gain CQ ($)</t>
  </si>
  <si>
    <t>Total Return CQ ($)</t>
  </si>
  <si>
    <t>Total Return CQ %</t>
  </si>
  <si>
    <t>Unrealized Gain ITD ($)</t>
  </si>
  <si>
    <t>Realized Gain ITD ($)</t>
  </si>
  <si>
    <t>Total Return ITD ($)</t>
  </si>
  <si>
    <t>Total Return ITD %</t>
  </si>
  <si>
    <t>Mgmt Fee ITD ($)</t>
  </si>
  <si>
    <t>Incentive Fee ITD ($)</t>
  </si>
  <si>
    <t>Total Fees ITD ($)</t>
  </si>
  <si>
    <t>Net Return ITD ($)</t>
  </si>
  <si>
    <t>Incentive Fee Rate</t>
  </si>
  <si>
    <t>Preferred Return</t>
  </si>
  <si>
    <t>Hurdle Exceeded?</t>
  </si>
  <si>
    <t>Lock-up Period
(Months)</t>
  </si>
  <si>
    <t>Subscription
Date</t>
  </si>
  <si>
    <t>First Contribution
Date</t>
  </si>
  <si>
    <t>Redemption
Eligibility Date</t>
  </si>
  <si>
    <t>Lock-up
Expired?</t>
  </si>
  <si>
    <t>Redemption
Frequency</t>
  </si>
  <si>
    <t>Gate
Provision</t>
  </si>
  <si>
    <t>Notice Period
(Days)</t>
  </si>
  <si>
    <t>Months
Remaining</t>
  </si>
  <si>
    <t>Side Pocket
Eligible?</t>
  </si>
  <si>
    <t>DRIP
Enrolled?</t>
  </si>
  <si>
    <t>Distribution
Preference</t>
  </si>
  <si>
    <t>High-Water
Mark Active?</t>
  </si>
  <si>
    <t>Reporting
Currency</t>
  </si>
  <si>
    <t>FATCA
Status</t>
  </si>
  <si>
    <t>AML/KYC
Status</t>
  </si>
  <si>
    <t>Accredited /
Qualified</t>
  </si>
  <si>
    <t>Custodian /
Prime Broker</t>
  </si>
  <si>
    <t>Side Letter
Flag</t>
  </si>
  <si>
    <t>Special
Terms Notes</t>
  </si>
  <si>
    <t>Mgmt Fee
Rate</t>
  </si>
  <si>
    <t>Incentive Fee
Rate</t>
  </si>
  <si>
    <t>Preferred
Return</t>
  </si>
  <si>
    <t>Hurdle
Type</t>
  </si>
  <si>
    <t>Catch-up
%</t>
  </si>
  <si>
    <t>Hurdle
Amount ITD ($)</t>
  </si>
  <si>
    <t>Total Return
ITD ($)</t>
  </si>
  <si>
    <t>Excess Over
Hurdle ($)</t>
  </si>
  <si>
    <t>GP Catch-up
Amount ($)</t>
  </si>
  <si>
    <t>LP Net
Waterfall Share ($)</t>
  </si>
  <si>
    <t>Waterfall
Tier</t>
  </si>
  <si>
    <t>Alpha Capital Partners LP</t>
  </si>
  <si>
    <t>Beta Growth Fund LLC</t>
  </si>
  <si>
    <t>-</t>
  </si>
  <si>
    <t>Gamma Endowment Trust</t>
  </si>
  <si>
    <t>Delta Family Office</t>
  </si>
  <si>
    <t>Epsilon Pension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</si>
</sst>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0;\(#,##0.0000\);\-"/>
    <numFmt numFmtId="165" formatCode="_ * #,##0.00_ ;_ * \-#,##0.00_ ;_ * \-??_ ;_ @_ "/>
    <numFmt numFmtId="166" formatCode="m/d/yyyy"/>
    <numFmt numFmtId="167" formatCode="0.0%"/>
    <numFmt numFmtId="168" formatCode="0.00\x;0.00\x;\-"/>
    <numFmt numFmtId="169" formatCode="\$#,##0;&quot;($&quot;#,##0\);\-"/>
    <numFmt numFmtId="170" formatCode="dd/mm/yyyy"/>
  </numFmts>
  <fonts count="1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8"/>
      <color theme="1"/>
      <name val="Arial"/>
      <family val="2"/>
      <charset val="1"/>
    </font>
    <font>
      <b/>
      <sz val="8"/>
      <color rgb="FF000000"/>
      <name val="Arial"/>
      <family val="2"/>
    </font>
    <font>
      <b/>
      <sz val="8"/>
      <color rgb="FF7F6000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sz val="9"/>
      <name val="Arial"/>
      <family val="2"/>
      <charset val="1"/>
    </font>
    <font>
      <sz val="9"/>
      <color rgb="FF0000FF"/>
      <name val="Arial"/>
      <family val="2"/>
    </font>
    <font>
      <sz val="9"/>
      <color rgb="FF00B050"/>
      <name val="Arial"/>
      <family val="2"/>
    </font>
    <font>
      <sz val="9"/>
      <color rgb="FF7030A0"/>
      <name val="Arial"/>
      <family val="2"/>
    </font>
    <font>
      <sz val="9"/>
      <color rgb="FFC0000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FF0000"/>
      </patternFill>
    </fill>
    <fill>
      <patternFill patternType="solid">
        <fgColor theme="2" tint="-9.9978637043366805E-2"/>
        <bgColor rgb="FFD6E4F0"/>
      </patternFill>
    </fill>
    <fill>
      <patternFill patternType="solid">
        <fgColor theme="7" tint="0.59978026673177287"/>
        <bgColor rgb="FFBFBFBF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theme="0" tint="-4.9989318521683403E-2"/>
        <bgColor rgb="FFEBF3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7" fillId="8" borderId="1" xfId="0" applyFont="1" applyFill="1" applyBorder="1" applyAlignment="1">
      <alignment horizontal="left" vertical="center"/>
    </xf>
    <xf numFmtId="164" fontId="8" fillId="8" borderId="1" xfId="0" applyNumberFormat="1" applyFont="1" applyFill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right" vertical="center"/>
    </xf>
    <xf numFmtId="167" fontId="8" fillId="0" borderId="2" xfId="0" applyNumberFormat="1" applyFont="1" applyBorder="1" applyAlignment="1">
      <alignment horizontal="right" vertical="center"/>
    </xf>
    <xf numFmtId="168" fontId="8" fillId="0" borderId="2" xfId="0" applyNumberFormat="1" applyFont="1" applyBorder="1" applyAlignment="1">
      <alignment horizontal="right" vertical="center"/>
    </xf>
    <xf numFmtId="169" fontId="8" fillId="0" borderId="2" xfId="0" applyNumberFormat="1" applyFont="1" applyBorder="1" applyAlignment="1">
      <alignment horizontal="right" vertical="center"/>
    </xf>
    <xf numFmtId="10" fontId="8" fillId="0" borderId="2" xfId="0" applyNumberFormat="1" applyFont="1" applyBorder="1" applyAlignment="1">
      <alignment horizontal="right" vertical="center"/>
    </xf>
    <xf numFmtId="167" fontId="10" fillId="0" borderId="2" xfId="0" applyNumberFormat="1" applyFont="1" applyBorder="1" applyAlignment="1">
      <alignment horizontal="right" vertical="center"/>
    </xf>
    <xf numFmtId="49" fontId="8" fillId="0" borderId="2" xfId="0" applyNumberFormat="1" applyFont="1" applyBorder="1" applyAlignment="1">
      <alignment horizontal="right" vertical="center"/>
    </xf>
    <xf numFmtId="1" fontId="11" fillId="0" borderId="1" xfId="0" applyNumberFormat="1" applyFont="1" applyBorder="1" applyAlignment="1">
      <alignment horizontal="center" vertical="center"/>
    </xf>
    <xf numFmtId="170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165" fontId="9" fillId="9" borderId="1" xfId="0" applyNumberFormat="1" applyFont="1" applyFill="1" applyBorder="1" applyAlignment="1">
      <alignment horizontal="right" vertical="center"/>
    </xf>
    <xf numFmtId="165" fontId="9" fillId="9" borderId="1" xfId="0" applyNumberFormat="1" applyFont="1" applyFill="1" applyBorder="1" applyAlignment="1">
      <alignment horizontal="center"/>
    </xf>
    <xf numFmtId="166" fontId="9" fillId="9" borderId="1" xfId="0" applyNumberFormat="1" applyFont="1" applyFill="1" applyBorder="1" applyAlignment="1">
      <alignment horizontal="right" vertical="center"/>
    </xf>
    <xf numFmtId="165" fontId="9" fillId="0" borderId="1" xfId="0" applyNumberFormat="1" applyFont="1" applyBorder="1"/>
    <xf numFmtId="167" fontId="14" fillId="0" borderId="2" xfId="0" applyNumberFormat="1" applyFont="1" applyBorder="1" applyAlignment="1">
      <alignment horizontal="right" vertical="center"/>
    </xf>
    <xf numFmtId="168" fontId="14" fillId="0" borderId="2" xfId="0" applyNumberFormat="1" applyFont="1" applyBorder="1" applyAlignment="1">
      <alignment horizontal="right" vertical="center"/>
    </xf>
    <xf numFmtId="169" fontId="14" fillId="0" borderId="2" xfId="0" applyNumberFormat="1" applyFont="1" applyBorder="1" applyAlignment="1">
      <alignment horizontal="right" vertical="center"/>
    </xf>
    <xf numFmtId="165" fontId="9" fillId="0" borderId="0" xfId="0" applyNumberFormat="1" applyFont="1"/>
    <xf numFmtId="0" fontId="15" fillId="0" borderId="1" xfId="0" applyFont="1" applyBorder="1"/>
    <xf numFmtId="169" fontId="1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OpenEndedFund_HedgeFund_PCAP_Q1_2026_Waterfall.xlsx" TargetMode="External"/><Relationship Id="rId2" Type="http://schemas.openxmlformats.org/officeDocument/2006/relationships/externalLinkPath" Target="/Users/Admin/Downloads/OpenEndedFund_HedgeFund_PCAP_Q1_2026_Waterfall.xlsx" TargetMode="External"/><Relationship Id="rId1" Type="http://schemas.openxmlformats.org/officeDocument/2006/relationships/externalLinkPath" Target="/Users/Admin/Downloads/OpenEndedFund_HedgeFund_PCAP_Q1_2026_Waterf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Investor Register"/>
      <sheetName val="PCAP (2)"/>
      <sheetName val="PCAP"/>
      <sheetName val="CF Ledger"/>
      <sheetName val="Waterfall"/>
      <sheetName val="Audit Log"/>
      <sheetName val="Cashflow"/>
      <sheetName val="CF_Aggregator"/>
      <sheetName val="Period_Params"/>
      <sheetName val="Stress_IRR"/>
      <sheetName val="Capital_Accounts"/>
    </sheetNames>
    <sheetDataSet>
      <sheetData sheetId="0"/>
      <sheetData sheetId="1">
        <row r="2">
          <cell r="B2" t="str">
            <v>INVESTOR REGISTER &amp; STATIC DATA</v>
          </cell>
        </row>
        <row r="4">
          <cell r="B4" t="str">
            <v>Investor Name (Legal)</v>
          </cell>
          <cell r="C4" t="str">
            <v>Entity Type</v>
          </cell>
          <cell r="D4" t="str">
            <v>Tax ID / EIN</v>
          </cell>
          <cell r="E4" t="str">
            <v>Jurisdiction</v>
          </cell>
          <cell r="F4" t="str">
            <v>Domicile Country</v>
          </cell>
          <cell r="G4" t="str">
            <v>FATCA Status</v>
          </cell>
          <cell r="H4" t="str">
            <v>AML / KYC Status</v>
          </cell>
          <cell r="I4" t="str">
            <v>Accredited / Qualified</v>
          </cell>
          <cell r="J4" t="str">
            <v>Subscription Date</v>
          </cell>
          <cell r="K4" t="str">
            <v>First Contribution Date</v>
          </cell>
          <cell r="L4" t="str">
            <v>Redemption Eligibility Date</v>
          </cell>
          <cell r="M4" t="str">
            <v>Lock-up Period (months)</v>
          </cell>
          <cell r="N4" t="str">
            <v>Mgmt Fee Rate</v>
          </cell>
          <cell r="O4" t="str">
            <v>Incentive Fee Rate</v>
          </cell>
          <cell r="P4" t="str">
            <v>Preferred Return</v>
          </cell>
          <cell r="Q4" t="str">
            <v>Hurdle Type</v>
          </cell>
          <cell r="R4" t="str">
            <v>Catch-up %</v>
          </cell>
          <cell r="S4" t="str">
            <v>High-Water Mark</v>
          </cell>
          <cell r="T4" t="str">
            <v>Distribution Preference</v>
          </cell>
          <cell r="U4" t="str">
            <v>DRIP Enrolled?</v>
          </cell>
          <cell r="V4" t="str">
            <v>Side Pocket Eligible?</v>
          </cell>
          <cell r="W4" t="str">
            <v>Reporting Currency</v>
          </cell>
          <cell r="X4" t="str">
            <v>Primary Contact</v>
          </cell>
          <cell r="Y4" t="str">
            <v>Email</v>
          </cell>
          <cell r="Z4" t="str">
            <v>Custodian / Prime Broker</v>
          </cell>
          <cell r="AA4" t="str">
            <v>Capital Commitment ($)</v>
          </cell>
          <cell r="AB4" t="str">
            <v>Notes / Flags</v>
          </cell>
        </row>
        <row r="5">
          <cell r="B5" t="str">
            <v>Alpha Capital Partners LP</v>
          </cell>
          <cell r="C5" t="str">
            <v>LP</v>
          </cell>
          <cell r="D5" t="str">
            <v>XX-1000000</v>
          </cell>
          <cell r="E5" t="str">
            <v>Delaware</v>
          </cell>
          <cell r="F5" t="str">
            <v>USA</v>
          </cell>
          <cell r="G5" t="str">
            <v>PFFI</v>
          </cell>
          <cell r="H5" t="str">
            <v>Complete</v>
          </cell>
          <cell r="I5" t="str">
            <v>QIB</v>
          </cell>
          <cell r="J5" t="str">
            <v>3/15/2024</v>
          </cell>
          <cell r="K5" t="str">
            <v>4/1/2024</v>
          </cell>
          <cell r="L5" t="str">
            <v>4/1/2025</v>
          </cell>
          <cell r="M5">
            <v>12</v>
          </cell>
          <cell r="N5">
            <v>1.4999999999999999E-2</v>
          </cell>
          <cell r="O5">
            <v>0.2</v>
          </cell>
          <cell r="P5">
            <v>0.08</v>
          </cell>
          <cell r="Q5" t="str">
            <v>Hard</v>
          </cell>
          <cell r="R5" t="str">
            <v>100%</v>
          </cell>
          <cell r="S5" t="str">
            <v>Yes</v>
          </cell>
          <cell r="T5" t="str">
            <v>DRIP</v>
          </cell>
          <cell r="U5" t="str">
            <v>Yes</v>
          </cell>
          <cell r="V5" t="str">
            <v>Yes</v>
          </cell>
          <cell r="W5" t="str">
            <v>USD</v>
          </cell>
          <cell r="X5" t="str">
            <v>John Smith</v>
          </cell>
          <cell r="Y5" t="str">
            <v>jsmith@alpha.com</v>
          </cell>
          <cell r="Z5" t="str">
            <v>Goldman Sachs</v>
          </cell>
          <cell r="AA5">
            <v>27500000</v>
          </cell>
          <cell r="AB5" t="str">
            <v>Seed investor</v>
          </cell>
        </row>
        <row r="6">
          <cell r="B6" t="str">
            <v>Beta Growth Fund LLC</v>
          </cell>
          <cell r="C6" t="str">
            <v>LLC</v>
          </cell>
          <cell r="D6" t="str">
            <v>XX-1111111</v>
          </cell>
          <cell r="E6" t="str">
            <v>Delaware</v>
          </cell>
          <cell r="F6" t="str">
            <v>USA</v>
          </cell>
          <cell r="G6" t="str">
            <v>PFFI</v>
          </cell>
          <cell r="H6" t="str">
            <v>Complete</v>
          </cell>
          <cell r="I6" t="str">
            <v>QIB</v>
          </cell>
          <cell r="J6" t="str">
            <v>9/15/2024</v>
          </cell>
          <cell r="K6" t="str">
            <v>10/1/2024</v>
          </cell>
          <cell r="L6" t="str">
            <v>10/1/2025</v>
          </cell>
          <cell r="M6">
            <v>12</v>
          </cell>
          <cell r="N6">
            <v>1.4999999999999999E-2</v>
          </cell>
          <cell r="O6">
            <v>0.2</v>
          </cell>
          <cell r="P6">
            <v>0.08</v>
          </cell>
          <cell r="Q6" t="str">
            <v>Hard</v>
          </cell>
          <cell r="R6" t="str">
            <v>100%</v>
          </cell>
          <cell r="S6" t="str">
            <v>Yes</v>
          </cell>
          <cell r="T6" t="str">
            <v>Cash</v>
          </cell>
          <cell r="U6" t="str">
            <v>No</v>
          </cell>
          <cell r="V6" t="str">
            <v>No</v>
          </cell>
          <cell r="W6" t="str">
            <v>USD</v>
          </cell>
          <cell r="X6" t="str">
            <v>Jane Doe</v>
          </cell>
          <cell r="Y6" t="str">
            <v>jdoe@beta.com</v>
          </cell>
          <cell r="Z6" t="str">
            <v>Morgan Stanley</v>
          </cell>
          <cell r="AA6">
            <v>5000000</v>
          </cell>
          <cell r="AB6" t="str">
            <v>Q4 close</v>
          </cell>
        </row>
        <row r="7">
          <cell r="B7" t="str">
            <v>Gamma Endowment Trust</v>
          </cell>
          <cell r="C7" t="str">
            <v>Trust</v>
          </cell>
          <cell r="D7" t="str">
            <v>XX-1222222</v>
          </cell>
          <cell r="E7" t="str">
            <v>New York</v>
          </cell>
          <cell r="F7" t="str">
            <v>USA</v>
          </cell>
          <cell r="G7" t="str">
            <v>NFFE</v>
          </cell>
          <cell r="H7" t="str">
            <v>Complete</v>
          </cell>
          <cell r="I7" t="str">
            <v>QP</v>
          </cell>
          <cell r="J7" t="str">
            <v>9/15/2024</v>
          </cell>
          <cell r="K7" t="str">
            <v>10/1/2024</v>
          </cell>
          <cell r="L7" t="str">
            <v>10/1/2025</v>
          </cell>
          <cell r="M7">
            <v>12</v>
          </cell>
          <cell r="N7">
            <v>1.2500000000000001E-2</v>
          </cell>
          <cell r="O7">
            <v>0.2</v>
          </cell>
          <cell r="P7">
            <v>0.06</v>
          </cell>
          <cell r="Q7" t="str">
            <v>Soft</v>
          </cell>
          <cell r="R7" t="str">
            <v>100%</v>
          </cell>
          <cell r="S7" t="str">
            <v>Yes</v>
          </cell>
          <cell r="T7" t="str">
            <v>DRIP</v>
          </cell>
          <cell r="U7" t="str">
            <v>Yes</v>
          </cell>
          <cell r="V7" t="str">
            <v>Yes</v>
          </cell>
          <cell r="W7" t="str">
            <v>USD</v>
          </cell>
          <cell r="X7" t="str">
            <v>Bob Lee</v>
          </cell>
          <cell r="Y7" t="str">
            <v>blee@gamma.com</v>
          </cell>
          <cell r="Z7" t="str">
            <v>State Street</v>
          </cell>
          <cell r="AA7">
            <v>80000000</v>
          </cell>
          <cell r="AB7" t="str">
            <v>Endowment mandate</v>
          </cell>
        </row>
        <row r="8">
          <cell r="B8" t="str">
            <v>Delta Family Office</v>
          </cell>
          <cell r="C8" t="str">
            <v>Family Office</v>
          </cell>
          <cell r="D8" t="str">
            <v>XX-1333333</v>
          </cell>
          <cell r="E8" t="str">
            <v>California</v>
          </cell>
          <cell r="F8" t="str">
            <v>USA</v>
          </cell>
          <cell r="G8" t="str">
            <v>NFFE</v>
          </cell>
          <cell r="H8" t="str">
            <v>In Review</v>
          </cell>
          <cell r="I8" t="str">
            <v>QP</v>
          </cell>
          <cell r="J8" t="str">
            <v>9/15/2024</v>
          </cell>
          <cell r="K8" t="str">
            <v>10/1/2024</v>
          </cell>
          <cell r="L8" t="str">
            <v>10/1/2025</v>
          </cell>
          <cell r="M8">
            <v>12</v>
          </cell>
          <cell r="N8">
            <v>1.4999999999999999E-2</v>
          </cell>
          <cell r="O8">
            <v>0.2</v>
          </cell>
          <cell r="P8">
            <v>0.08</v>
          </cell>
          <cell r="Q8" t="str">
            <v>Hard</v>
          </cell>
          <cell r="R8" t="str">
            <v>100%</v>
          </cell>
          <cell r="S8" t="str">
            <v>No</v>
          </cell>
          <cell r="T8" t="str">
            <v>Cash</v>
          </cell>
          <cell r="U8" t="str">
            <v>No</v>
          </cell>
          <cell r="V8" t="str">
            <v>No</v>
          </cell>
          <cell r="W8" t="str">
            <v>USD</v>
          </cell>
          <cell r="X8" t="str">
            <v>Alice Wong</v>
          </cell>
          <cell r="Y8" t="str">
            <v>awong@delta.com</v>
          </cell>
          <cell r="Z8" t="str">
            <v>JP Morgan</v>
          </cell>
          <cell r="AA8">
            <v>51000000</v>
          </cell>
          <cell r="AB8" t="str">
            <v>FO direct</v>
          </cell>
        </row>
        <row r="9">
          <cell r="B9" t="str">
            <v>Epsilon Pension Fund</v>
          </cell>
          <cell r="C9" t="str">
            <v>Pension Fund</v>
          </cell>
          <cell r="D9" t="str">
            <v>XX-1444444</v>
          </cell>
          <cell r="E9" t="str">
            <v>New York</v>
          </cell>
          <cell r="F9" t="str">
            <v>USA</v>
          </cell>
          <cell r="G9" t="str">
            <v>PFFI</v>
          </cell>
          <cell r="H9" t="str">
            <v>Complete</v>
          </cell>
          <cell r="I9" t="str">
            <v>QP</v>
          </cell>
          <cell r="J9" t="str">
            <v>9/15/2024</v>
          </cell>
          <cell r="K9" t="str">
            <v>10/1/2024</v>
          </cell>
          <cell r="L9" t="str">
            <v>10/1/2025</v>
          </cell>
          <cell r="M9">
            <v>12</v>
          </cell>
          <cell r="N9">
            <v>1.2500000000000001E-2</v>
          </cell>
          <cell r="O9">
            <v>0.2</v>
          </cell>
          <cell r="P9">
            <v>0.06</v>
          </cell>
          <cell r="Q9" t="str">
            <v>Soft</v>
          </cell>
          <cell r="R9" t="str">
            <v>100%</v>
          </cell>
          <cell r="S9" t="str">
            <v>Yes</v>
          </cell>
          <cell r="T9" t="str">
            <v>Cash</v>
          </cell>
          <cell r="U9" t="str">
            <v>No</v>
          </cell>
          <cell r="V9" t="str">
            <v>Yes</v>
          </cell>
          <cell r="W9" t="str">
            <v>USD</v>
          </cell>
          <cell r="X9" t="str">
            <v>Tom Brown</v>
          </cell>
          <cell r="Y9" t="str">
            <v>tbrown@epsilon.com</v>
          </cell>
          <cell r="Z9" t="str">
            <v>Fidelity</v>
          </cell>
          <cell r="AA9">
            <v>72000000</v>
          </cell>
          <cell r="AB9" t="str">
            <v>Pension plan</v>
          </cell>
        </row>
      </sheetData>
      <sheetData sheetId="2"/>
      <sheetData sheetId="3"/>
      <sheetData sheetId="4"/>
      <sheetData sheetId="5"/>
      <sheetData sheetId="6"/>
      <sheetData sheetId="7">
        <row r="4">
          <cell r="D4">
            <v>45383</v>
          </cell>
          <cell r="E4">
            <v>45473</v>
          </cell>
          <cell r="F4">
            <v>45474</v>
          </cell>
          <cell r="G4">
            <v>45474</v>
          </cell>
          <cell r="H4">
            <v>45565</v>
          </cell>
          <cell r="I4">
            <v>45566</v>
          </cell>
          <cell r="J4">
            <v>45566</v>
          </cell>
          <cell r="K4">
            <v>45566</v>
          </cell>
          <cell r="L4">
            <v>45657</v>
          </cell>
          <cell r="M4">
            <v>45657</v>
          </cell>
        </row>
        <row r="6">
          <cell r="D6">
            <v>-37331250</v>
          </cell>
          <cell r="E6">
            <v>310018.06</v>
          </cell>
          <cell r="F6">
            <v>-215249.45</v>
          </cell>
          <cell r="G6">
            <v>0</v>
          </cell>
          <cell r="H6">
            <v>347791.94</v>
          </cell>
          <cell r="I6">
            <v>-250233.26</v>
          </cell>
          <cell r="J6">
            <v>0</v>
          </cell>
          <cell r="K6">
            <v>0</v>
          </cell>
          <cell r="L6">
            <v>566579.78</v>
          </cell>
          <cell r="M6">
            <v>46038116.993292719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45759.09</v>
          </cell>
          <cell r="I7">
            <v>0</v>
          </cell>
          <cell r="J7">
            <v>-6986124.6399999997</v>
          </cell>
          <cell r="K7">
            <v>0</v>
          </cell>
          <cell r="L7">
            <v>102666.11</v>
          </cell>
          <cell r="M7">
            <v>5271959.969475328</v>
          </cell>
        </row>
        <row r="8"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-1708531.35</v>
          </cell>
          <cell r="J8">
            <v>-126963948.38</v>
          </cell>
          <cell r="K8">
            <v>0</v>
          </cell>
          <cell r="L8">
            <v>1853684.7</v>
          </cell>
          <cell r="M8">
            <v>110813673.48574477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-19377960</v>
          </cell>
          <cell r="L9">
            <v>1713822.27</v>
          </cell>
          <cell r="M9">
            <v>12635557.495595429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759516.46</v>
          </cell>
          <cell r="I10">
            <v>0</v>
          </cell>
          <cell r="J10">
            <v>-116624869.84</v>
          </cell>
          <cell r="K10">
            <v>0</v>
          </cell>
          <cell r="L10">
            <v>282919.90000000002</v>
          </cell>
          <cell r="M10">
            <v>103954520.1391743</v>
          </cell>
        </row>
        <row r="16">
          <cell r="D16">
            <v>45383</v>
          </cell>
          <cell r="E16">
            <v>45473</v>
          </cell>
          <cell r="F16">
            <v>45474</v>
          </cell>
          <cell r="G16">
            <v>45474</v>
          </cell>
          <cell r="H16">
            <v>45565</v>
          </cell>
          <cell r="I16">
            <v>45566</v>
          </cell>
          <cell r="J16">
            <v>45566</v>
          </cell>
          <cell r="K16">
            <v>45566</v>
          </cell>
          <cell r="L16">
            <v>45657</v>
          </cell>
          <cell r="M16">
            <v>45657</v>
          </cell>
        </row>
        <row r="18">
          <cell r="D18">
            <v>-37331250</v>
          </cell>
          <cell r="E18">
            <v>159590.782910604</v>
          </cell>
          <cell r="F18">
            <v>-215249.45</v>
          </cell>
          <cell r="G18">
            <v>0</v>
          </cell>
          <cell r="H18">
            <v>320000</v>
          </cell>
          <cell r="I18">
            <v>-250233.26</v>
          </cell>
          <cell r="J18">
            <v>0</v>
          </cell>
          <cell r="K18">
            <v>0</v>
          </cell>
          <cell r="L18">
            <v>462093.19708939601</v>
          </cell>
          <cell r="M18">
            <v>46038116.993292719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6AA9-91BB-824F-B65C-27E2B37809FF}">
  <dimension ref="A2:EL10"/>
  <sheetViews>
    <sheetView showGridLines="0" tabSelected="1" zoomScale="75" zoomScaleNormal="100" workbookViewId="0">
      <pane xSplit="1" ySplit="3" topLeftCell="BT4" activePane="bottomRight" state="frozen"/>
      <selection pane="topRight" activeCell="CH1" sqref="CH1"/>
      <selection pane="bottomLeft" activeCell="A4" sqref="A4"/>
      <selection pane="bottomRight" activeCell="A27" sqref="A27"/>
    </sheetView>
  </sheetViews>
  <sheetFormatPr baseColWidth="10" defaultColWidth="8.6640625" defaultRowHeight="15" x14ac:dyDescent="0.2"/>
  <cols>
    <col min="1" max="1" width="38" customWidth="1"/>
    <col min="2" max="9" width="14" customWidth="1"/>
    <col min="10" max="10" width="16" customWidth="1"/>
    <col min="11" max="11" width="14" customWidth="1"/>
    <col min="12" max="12" width="16" customWidth="1"/>
    <col min="13" max="13" width="14" customWidth="1"/>
    <col min="14" max="14" width="20" customWidth="1"/>
    <col min="15" max="16" width="16" customWidth="1"/>
    <col min="17" max="21" width="14" customWidth="1"/>
    <col min="22" max="22" width="16" customWidth="1"/>
    <col min="23" max="25" width="14" customWidth="1"/>
    <col min="26" max="26" width="18" customWidth="1"/>
    <col min="27" max="27" width="14" customWidth="1"/>
    <col min="28" max="28" width="16" customWidth="1"/>
    <col min="29" max="29" width="14" customWidth="1"/>
    <col min="30" max="30" width="20" customWidth="1"/>
    <col min="31" max="31" width="16" customWidth="1"/>
    <col min="32" max="32" width="18.83203125" customWidth="1"/>
    <col min="33" max="33" width="16" customWidth="1"/>
    <col min="34" max="41" width="14" customWidth="1"/>
    <col min="42" max="42" width="18" customWidth="1"/>
    <col min="43" max="43" width="14" customWidth="1"/>
    <col min="44" max="44" width="16" customWidth="1"/>
    <col min="45" max="45" width="14" customWidth="1"/>
    <col min="46" max="46" width="20" customWidth="1"/>
    <col min="47" max="48" width="16" customWidth="1"/>
    <col min="49" max="53" width="14" customWidth="1"/>
    <col min="54" max="55" width="16" customWidth="1"/>
    <col min="56" max="60" width="14" customWidth="1"/>
    <col min="61" max="61" width="16" customWidth="1"/>
    <col min="62" max="64" width="14" customWidth="1"/>
    <col min="65" max="65" width="18" customWidth="1"/>
    <col min="66" max="66" width="14" customWidth="1"/>
    <col min="67" max="67" width="16" customWidth="1"/>
    <col min="68" max="68" width="14" customWidth="1"/>
    <col min="69" max="69" width="20" customWidth="1"/>
    <col min="70" max="70" width="16" customWidth="1"/>
    <col min="71" max="71" width="18" customWidth="1"/>
    <col min="72" max="76" width="14" customWidth="1"/>
    <col min="77" max="77" width="16" customWidth="1"/>
    <col min="78" max="78" width="25" customWidth="1"/>
    <col min="79" max="79" width="18" customWidth="1"/>
    <col min="80" max="80" width="16" customWidth="1"/>
    <col min="81" max="81" width="14" customWidth="1"/>
    <col min="82" max="82" width="16" customWidth="1"/>
    <col min="83" max="84" width="12" customWidth="1"/>
    <col min="85" max="85" width="16" customWidth="1"/>
    <col min="86" max="87" width="14" customWidth="1"/>
    <col min="88" max="88" width="16" customWidth="1"/>
    <col min="91" max="91" width="24.83203125" customWidth="1"/>
    <col min="92" max="111" width="16" customWidth="1"/>
    <col min="112" max="131" width="14" customWidth="1"/>
    <col min="132" max="142" width="16" customWidth="1"/>
  </cols>
  <sheetData>
    <row r="2" spans="1:142" ht="19.5" customHeight="1" x14ac:dyDescent="0.2">
      <c r="DH2" s="1" t="s">
        <v>0</v>
      </c>
      <c r="DI2" s="1"/>
      <c r="DJ2" s="1"/>
      <c r="DK2" s="1"/>
      <c r="DL2" s="1"/>
      <c r="DM2" s="1"/>
      <c r="DN2" s="1"/>
      <c r="DO2" s="1"/>
      <c r="DP2" s="1"/>
      <c r="DQ2" s="2" t="s">
        <v>1</v>
      </c>
      <c r="DR2" s="2"/>
      <c r="DS2" s="2"/>
      <c r="DT2" s="2"/>
      <c r="DU2" s="2"/>
      <c r="DV2" s="2"/>
      <c r="DW2" s="2"/>
      <c r="DX2" s="2"/>
      <c r="DY2" s="2"/>
      <c r="DZ2" s="2"/>
      <c r="EA2" s="2"/>
      <c r="EB2" s="3" t="s">
        <v>2</v>
      </c>
      <c r="EC2" s="3"/>
      <c r="ED2" s="3"/>
      <c r="EE2" s="3"/>
      <c r="EF2" s="3"/>
      <c r="EG2" s="3"/>
      <c r="EH2" s="3"/>
      <c r="EI2" s="3"/>
      <c r="EJ2" s="3"/>
      <c r="EK2" s="3"/>
      <c r="EL2" s="3"/>
    </row>
    <row r="3" spans="1:142" ht="42" customHeight="1" x14ac:dyDescent="0.2">
      <c r="A3" s="4" t="s">
        <v>3</v>
      </c>
      <c r="B3" s="5" t="s">
        <v>4</v>
      </c>
      <c r="C3" s="4" t="s">
        <v>5</v>
      </c>
      <c r="D3" s="4" t="s">
        <v>6</v>
      </c>
      <c r="E3" s="5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5" t="s">
        <v>34</v>
      </c>
      <c r="AG3" s="5" t="s">
        <v>35</v>
      </c>
      <c r="AH3" s="5" t="s">
        <v>36</v>
      </c>
      <c r="AI3" s="5" t="s">
        <v>37</v>
      </c>
      <c r="AJ3" s="5" t="s">
        <v>38</v>
      </c>
      <c r="AK3" s="5" t="s">
        <v>39</v>
      </c>
      <c r="AL3" s="5" t="s">
        <v>40</v>
      </c>
      <c r="AM3" s="5" t="s">
        <v>41</v>
      </c>
      <c r="AN3" s="5" t="s">
        <v>42</v>
      </c>
      <c r="AO3" s="5" t="s">
        <v>43</v>
      </c>
      <c r="AP3" s="5" t="s">
        <v>44</v>
      </c>
      <c r="AQ3" s="5" t="s">
        <v>45</v>
      </c>
      <c r="AR3" s="5" t="s">
        <v>46</v>
      </c>
      <c r="AS3" s="6" t="s">
        <v>47</v>
      </c>
      <c r="AT3" s="6" t="s">
        <v>48</v>
      </c>
      <c r="AU3" s="6" t="s">
        <v>49</v>
      </c>
      <c r="AV3" s="6" t="s">
        <v>50</v>
      </c>
      <c r="AW3" s="6" t="s">
        <v>51</v>
      </c>
      <c r="AX3" s="5" t="s">
        <v>52</v>
      </c>
      <c r="AY3" s="5" t="s">
        <v>53</v>
      </c>
      <c r="AZ3" s="5" t="s">
        <v>54</v>
      </c>
      <c r="BA3" s="5" t="s">
        <v>55</v>
      </c>
      <c r="BB3" s="6" t="s">
        <v>56</v>
      </c>
      <c r="BC3" s="5" t="s">
        <v>57</v>
      </c>
      <c r="BD3" s="5" t="s">
        <v>58</v>
      </c>
      <c r="BE3" s="5" t="s">
        <v>59</v>
      </c>
      <c r="BF3" s="5" t="s">
        <v>60</v>
      </c>
      <c r="BG3" s="5" t="s">
        <v>61</v>
      </c>
      <c r="BH3" s="5" t="s">
        <v>62</v>
      </c>
      <c r="BI3" s="5" t="s">
        <v>63</v>
      </c>
      <c r="BJ3" s="5" t="s">
        <v>64</v>
      </c>
      <c r="BK3" s="5" t="s">
        <v>65</v>
      </c>
      <c r="BL3" s="5" t="s">
        <v>66</v>
      </c>
      <c r="BM3" s="5" t="s">
        <v>67</v>
      </c>
      <c r="BN3" s="5" t="s">
        <v>68</v>
      </c>
      <c r="BO3" s="5" t="s">
        <v>69</v>
      </c>
      <c r="BP3" s="6" t="s">
        <v>70</v>
      </c>
      <c r="BQ3" s="6" t="s">
        <v>71</v>
      </c>
      <c r="BR3" s="6" t="s">
        <v>72</v>
      </c>
      <c r="BS3" s="6" t="s">
        <v>73</v>
      </c>
      <c r="BT3" s="6" t="s">
        <v>74</v>
      </c>
      <c r="BU3" s="5" t="s">
        <v>75</v>
      </c>
      <c r="BV3" s="5" t="s">
        <v>76</v>
      </c>
      <c r="BW3" s="5" t="s">
        <v>77</v>
      </c>
      <c r="BX3" s="5" t="s">
        <v>78</v>
      </c>
      <c r="BY3" s="6" t="s">
        <v>79</v>
      </c>
      <c r="BZ3" s="5" t="s">
        <v>80</v>
      </c>
      <c r="CA3" s="5" t="s">
        <v>81</v>
      </c>
      <c r="CB3" s="5" t="s">
        <v>82</v>
      </c>
      <c r="CC3" s="5" t="s">
        <v>83</v>
      </c>
      <c r="CD3" s="5" t="s">
        <v>84</v>
      </c>
      <c r="CE3" s="5" t="s">
        <v>85</v>
      </c>
      <c r="CF3" s="5" t="s">
        <v>86</v>
      </c>
      <c r="CG3" s="7" t="s">
        <v>87</v>
      </c>
      <c r="CH3" s="5" t="s">
        <v>88</v>
      </c>
      <c r="CI3" s="5" t="s">
        <v>89</v>
      </c>
      <c r="CJ3" s="6" t="s">
        <v>90</v>
      </c>
      <c r="CK3" s="6" t="s">
        <v>91</v>
      </c>
      <c r="CL3" s="6" t="s">
        <v>92</v>
      </c>
      <c r="CM3" s="7" t="s">
        <v>93</v>
      </c>
      <c r="CN3" s="8" t="s">
        <v>94</v>
      </c>
      <c r="CO3" s="8" t="s">
        <v>95</v>
      </c>
      <c r="CP3" s="8" t="s">
        <v>96</v>
      </c>
      <c r="CQ3" s="8" t="s">
        <v>97</v>
      </c>
      <c r="CR3" s="8" t="s">
        <v>98</v>
      </c>
      <c r="CS3" s="8" t="s">
        <v>99</v>
      </c>
      <c r="CT3" s="8" t="s">
        <v>100</v>
      </c>
      <c r="CU3" s="8" t="s">
        <v>101</v>
      </c>
      <c r="CV3" s="8" t="s">
        <v>102</v>
      </c>
      <c r="CW3" s="8" t="s">
        <v>103</v>
      </c>
      <c r="CX3" s="8" t="s">
        <v>104</v>
      </c>
      <c r="CY3" s="8" t="s">
        <v>105</v>
      </c>
      <c r="CZ3" s="8" t="s">
        <v>106</v>
      </c>
      <c r="DA3" s="8" t="s">
        <v>107</v>
      </c>
      <c r="DB3" s="8" t="s">
        <v>108</v>
      </c>
      <c r="DC3" s="8" t="s">
        <v>109</v>
      </c>
      <c r="DD3" s="8" t="s">
        <v>110</v>
      </c>
      <c r="DE3" s="8" t="s">
        <v>111</v>
      </c>
      <c r="DF3" s="8" t="s">
        <v>112</v>
      </c>
      <c r="DG3" s="8" t="s">
        <v>113</v>
      </c>
      <c r="DH3" s="9" t="s">
        <v>114</v>
      </c>
      <c r="DI3" s="9" t="s">
        <v>115</v>
      </c>
      <c r="DJ3" s="9" t="s">
        <v>116</v>
      </c>
      <c r="DK3" s="9" t="s">
        <v>117</v>
      </c>
      <c r="DL3" s="9" t="s">
        <v>118</v>
      </c>
      <c r="DM3" s="9" t="s">
        <v>119</v>
      </c>
      <c r="DN3" s="9" t="s">
        <v>120</v>
      </c>
      <c r="DO3" s="9" t="s">
        <v>121</v>
      </c>
      <c r="DP3" s="9" t="s">
        <v>122</v>
      </c>
      <c r="DQ3" s="10" t="s">
        <v>123</v>
      </c>
      <c r="DR3" s="10" t="s">
        <v>124</v>
      </c>
      <c r="DS3" s="10" t="s">
        <v>125</v>
      </c>
      <c r="DT3" s="10" t="s">
        <v>126</v>
      </c>
      <c r="DU3" s="10" t="s">
        <v>127</v>
      </c>
      <c r="DV3" s="10" t="s">
        <v>128</v>
      </c>
      <c r="DW3" s="10" t="s">
        <v>129</v>
      </c>
      <c r="DX3" s="10" t="s">
        <v>130</v>
      </c>
      <c r="DY3" s="10" t="s">
        <v>131</v>
      </c>
      <c r="DZ3" s="10" t="s">
        <v>132</v>
      </c>
      <c r="EA3" s="10" t="s">
        <v>133</v>
      </c>
      <c r="EB3" s="11" t="s">
        <v>134</v>
      </c>
      <c r="EC3" s="11" t="s">
        <v>135</v>
      </c>
      <c r="ED3" s="11" t="s">
        <v>136</v>
      </c>
      <c r="EE3" s="11" t="s">
        <v>137</v>
      </c>
      <c r="EF3" s="11" t="s">
        <v>138</v>
      </c>
      <c r="EG3" s="11" t="s">
        <v>139</v>
      </c>
      <c r="EH3" s="11" t="s">
        <v>140</v>
      </c>
      <c r="EI3" s="11" t="s">
        <v>141</v>
      </c>
      <c r="EJ3" s="11" t="s">
        <v>142</v>
      </c>
      <c r="EK3" s="11" t="s">
        <v>143</v>
      </c>
      <c r="EL3" s="11" t="s">
        <v>144</v>
      </c>
    </row>
    <row r="4" spans="1:142" ht="24" customHeight="1" x14ac:dyDescent="0.2">
      <c r="A4" s="12"/>
      <c r="B4" s="13"/>
      <c r="C4" s="14"/>
      <c r="D4" s="14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>
        <v>-3686171.1</v>
      </c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>
        <v>-4165758.39</v>
      </c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>
        <v>-4165758.39</v>
      </c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4"/>
      <c r="CH4" s="13"/>
      <c r="CI4" s="13"/>
      <c r="CJ4" s="13"/>
      <c r="CK4" s="13"/>
      <c r="CL4" s="13"/>
      <c r="CM4" s="14"/>
    </row>
    <row r="5" spans="1:142" ht="18" customHeight="1" x14ac:dyDescent="0.2">
      <c r="A5" s="15" t="s">
        <v>145</v>
      </c>
      <c r="B5" s="16">
        <v>1045.33</v>
      </c>
      <c r="C5" s="17">
        <v>0</v>
      </c>
      <c r="D5" s="17">
        <v>0</v>
      </c>
      <c r="E5" s="17">
        <v>1045.33</v>
      </c>
      <c r="F5" s="18">
        <f t="shared" ref="F5:I9" si="0">V5/$AL5</f>
        <v>14.267547225588375</v>
      </c>
      <c r="G5" s="18">
        <f t="shared" si="0"/>
        <v>0</v>
      </c>
      <c r="H5" s="18">
        <f t="shared" si="0"/>
        <v>24.558892765357037</v>
      </c>
      <c r="I5" s="18">
        <f t="shared" si="0"/>
        <v>1.9881008429098554</v>
      </c>
      <c r="J5" s="18">
        <f>SUM(B5:I5)</f>
        <v>2131.4745408338549</v>
      </c>
      <c r="K5" s="18">
        <f t="shared" ref="K5:N9" si="1">AA5/$AL5</f>
        <v>0</v>
      </c>
      <c r="L5" s="18">
        <f t="shared" si="1"/>
        <v>-3.6476657064817375</v>
      </c>
      <c r="M5" s="18">
        <f t="shared" si="1"/>
        <v>-3.3086373884146223</v>
      </c>
      <c r="N5" s="18">
        <f t="shared" si="1"/>
        <v>0</v>
      </c>
      <c r="O5" s="17">
        <v>1063.1500000000001</v>
      </c>
      <c r="P5" s="18">
        <v>41587640.272431403</v>
      </c>
      <c r="Q5" s="18">
        <v>0</v>
      </c>
      <c r="R5" s="18">
        <v>0</v>
      </c>
      <c r="S5" s="18">
        <v>2500000</v>
      </c>
      <c r="T5" s="18">
        <f>IF(IFERROR(VLOOKUP(A5,'[1]Investor Register'!$B:$AB,20,0),"No")="Yes",-(AF5+AI5)/(AF$10+AI$10)*AA$4,0)</f>
        <v>502889.08058888343</v>
      </c>
      <c r="U5" s="18">
        <v>0</v>
      </c>
      <c r="V5" s="18">
        <v>610000</v>
      </c>
      <c r="W5" s="18">
        <f>$AL5/$AL$10*W$10</f>
        <v>0</v>
      </c>
      <c r="X5" s="18">
        <v>1050000</v>
      </c>
      <c r="Y5" s="18">
        <v>85000</v>
      </c>
      <c r="Z5" s="18">
        <f>SUM(P5:Y5)</f>
        <v>46335529.353020288</v>
      </c>
      <c r="AA5" s="18">
        <f>IF(IFERROR(VLOOKUP(A5,'[1]Investor Register'!$B:$AB,20,0),"No")="Yes",0,(AF5+AI5)/(AF$10+AI$10)*AA$4)</f>
        <v>0</v>
      </c>
      <c r="AB5" s="18">
        <f>IFERROR(-P5*VLOOKUP(A5,'[1]Investor Register'!$B:$AB,13,0)/4,0)</f>
        <v>-155953.65102161776</v>
      </c>
      <c r="AC5" s="18">
        <v>-141458.70870595201</v>
      </c>
      <c r="AD5" s="18">
        <f>$AL5/$AL$10*AD$10</f>
        <v>0</v>
      </c>
      <c r="AE5" s="18">
        <f>SUM(Z5:AD5)</f>
        <v>46038116.993292719</v>
      </c>
      <c r="AF5" s="18">
        <v>39889.763232201498</v>
      </c>
      <c r="AG5" s="18">
        <v>0</v>
      </c>
      <c r="AH5" s="18">
        <v>0</v>
      </c>
      <c r="AI5" s="18">
        <v>2391.5892588943202</v>
      </c>
      <c r="AJ5" s="17">
        <f>IF(T5&lt;&gt;0,T5/O5,0)</f>
        <v>473.01799425187733</v>
      </c>
      <c r="AK5" s="18">
        <v>0</v>
      </c>
      <c r="AL5" s="18">
        <f>SUM(AF5:AK5)</f>
        <v>42754.370485347696</v>
      </c>
      <c r="AM5" s="18">
        <v>0</v>
      </c>
      <c r="AN5" s="18">
        <v>0</v>
      </c>
      <c r="AO5" s="18">
        <v>0</v>
      </c>
      <c r="AP5" s="18">
        <v>2500000</v>
      </c>
      <c r="AQ5" s="18">
        <f>IF(IFERROR(VLOOKUP(A5,'[1]Investor Register'!$B:$AB,20,0),"No")="Yes",-(BC5+BF5)/(BC$10+BF$10)*AX$4,0)</f>
        <v>1388586.1300000001</v>
      </c>
      <c r="AR5" s="18">
        <v>0</v>
      </c>
      <c r="AS5" s="18">
        <v>610000</v>
      </c>
      <c r="AT5" s="18">
        <f>$BI5/$BI$10*AT$10</f>
        <v>0</v>
      </c>
      <c r="AU5" s="18">
        <v>1050000</v>
      </c>
      <c r="AV5" s="18">
        <v>85000</v>
      </c>
      <c r="AW5" s="18">
        <f>SUM(AM5:AV5)</f>
        <v>5633586.1299999999</v>
      </c>
      <c r="AX5" s="18">
        <f>IF(IFERROR(VLOOKUP(A5,'[1]Investor Register'!$B:$AB,20,0),"No")="Yes",0,(BC5+BF5)/(BC$10+BF$10)*AX$4)</f>
        <v>0</v>
      </c>
      <c r="AY5" s="18">
        <v>625.35</v>
      </c>
      <c r="AZ5" s="18">
        <v>-141458.70870595201</v>
      </c>
      <c r="BA5" s="18">
        <v>625.35</v>
      </c>
      <c r="BB5" s="18">
        <f>SUM(AW5:BA5)</f>
        <v>5493378.1212940468</v>
      </c>
      <c r="BC5" s="18">
        <v>0</v>
      </c>
      <c r="BD5" s="18">
        <v>0</v>
      </c>
      <c r="BE5" s="18">
        <v>0</v>
      </c>
      <c r="BF5" s="18">
        <v>2391.5892588943202</v>
      </c>
      <c r="BG5" s="18">
        <f>IF(AQ5&lt;&gt;0,AQ5/O5,0)</f>
        <v>1306.1055636551757</v>
      </c>
      <c r="BH5" s="18">
        <v>0</v>
      </c>
      <c r="BI5" s="18">
        <f>SUM(BC5:BH5)</f>
        <v>3697.6948225494962</v>
      </c>
      <c r="BJ5" s="18">
        <v>0</v>
      </c>
      <c r="BK5" s="18">
        <v>0</v>
      </c>
      <c r="BL5" s="18">
        <v>0</v>
      </c>
      <c r="BM5" s="18">
        <v>37331250</v>
      </c>
      <c r="BN5" s="18">
        <f>IF(IFERROR(VLOOKUP(A5,'[1]Investor Register'!$B:$AB,20,0),"No")="Yes",-(BZ5+CC5)/(BZ$10+CC$10)*BU$4,0)</f>
        <v>2767141.2086560186</v>
      </c>
      <c r="BO5" s="18">
        <v>0</v>
      </c>
      <c r="BP5" s="18">
        <f t="shared" ref="BP5:BS9" si="2">$CF5/$CF$10*BP$10</f>
        <v>1169445.354483803</v>
      </c>
      <c r="BQ5" s="18">
        <f t="shared" si="2"/>
        <v>0</v>
      </c>
      <c r="BR5" s="18">
        <f t="shared" si="2"/>
        <v>1975733.0139569724</v>
      </c>
      <c r="BS5" s="18">
        <f t="shared" si="2"/>
        <v>153211.1182181456</v>
      </c>
      <c r="BT5" s="18">
        <f>SUM(BJ5:BS5)</f>
        <v>43396780.695314944</v>
      </c>
      <c r="BU5" s="18">
        <f>IF(IFERROR(VLOOKUP(A5,'[1]Investor Register'!$B:$AB,20,0),"No")="Yes",0,(BZ5+CC5)/(BZ$10+CC$10)*BU$4)</f>
        <v>0</v>
      </c>
      <c r="BV5" s="18">
        <f>IFERROR(-(BM5+BN5)*VLOOKUP(A5,'[1]Investor Register'!$B:$AB,13,0)/4,0)</f>
        <v>-150368.96703246006</v>
      </c>
      <c r="BW5" s="18">
        <f>IFERROR(IF(VLOOKUP(A5,'[1]Investor Register'!$B:$AB,16,0)="Hard",  -MAX(0,(BT5-(BM5+BN5)-(BM5+BN5)*VLOOKUP(A5,'[1]Investor Register'!$B:$AB,15,0)))*VLOOKUP(A5,'[1]Investor Register'!$B:$AB,14,0),  IF((BT5-(BM5+BN5))&gt;(BM5+BN5)*VLOOKUP(A5,'[1]Investor Register'!$B:$AB,15,0),    -(BT5-(BM5+BN5))*VLOOKUP(A5,'[1]Investor Register'!$B:$AB,14,0),0)),0)</f>
        <v>-18103.637993288321</v>
      </c>
      <c r="BX5" s="18">
        <v>625.35</v>
      </c>
      <c r="BY5" s="18">
        <f>SUM(BT5:BX5)</f>
        <v>43228933.440289192</v>
      </c>
      <c r="BZ5" s="18">
        <v>0</v>
      </c>
      <c r="CA5" s="18">
        <v>0</v>
      </c>
      <c r="CB5" s="18">
        <v>0</v>
      </c>
      <c r="CC5" s="18">
        <v>37331.25</v>
      </c>
      <c r="CD5" s="18">
        <f>IF(BN5&lt;&gt;0,BN5/O5,0)</f>
        <v>2602.7759099431109</v>
      </c>
      <c r="CE5" s="18">
        <v>0</v>
      </c>
      <c r="CF5" s="18">
        <f>SUM(BZ5:CE5)</f>
        <v>39934.025909943113</v>
      </c>
      <c r="CG5" s="18">
        <v>27500000</v>
      </c>
      <c r="CH5" s="18">
        <v>-27500000</v>
      </c>
      <c r="CI5" s="18">
        <v>0</v>
      </c>
      <c r="CJ5" s="17">
        <f>SUM(CG5:CI5)</f>
        <v>0</v>
      </c>
      <c r="CK5" s="19">
        <f>IFERROR(XIRR([1]Cashflow!D6:M6,[1]Cashflow!D4:M4),0)</f>
        <v>0.35218011736869814</v>
      </c>
      <c r="CL5" s="18">
        <f>IFERROR(XIRR([1]Cashflow!D18:M18,[1]Cashflow!D16:M16),0)</f>
        <v>0.34028603434562688</v>
      </c>
      <c r="CM5" s="20">
        <v>45383</v>
      </c>
      <c r="CN5" s="21">
        <f t="shared" ref="CN5:CN10" si="3">IFERROR(AE5/AE$10,0)</f>
        <v>0.16518059871624333</v>
      </c>
      <c r="CO5" s="22">
        <f>IF(AP5=0,0,ABS(AX5)/AP5)</f>
        <v>0</v>
      </c>
      <c r="CP5" s="22">
        <f t="shared" ref="CP5:CP10" si="4">IF(AP5=0,0,BY5/AP5)</f>
        <v>17.291573376115675</v>
      </c>
      <c r="CQ5" s="22">
        <f>IF(AP5=0,0,(BY5+ABS(AX5))/AP5)</f>
        <v>17.291573376115675</v>
      </c>
      <c r="CR5" s="21">
        <f>IF(OR(CG5=0,NOT(ISNUMBER(CH5))),0,ABS(CH5)/CG5)</f>
        <v>1</v>
      </c>
      <c r="CS5" s="23">
        <f t="shared" ref="CS5:CT9" si="5">X5</f>
        <v>1050000</v>
      </c>
      <c r="CT5" s="23">
        <f t="shared" si="5"/>
        <v>85000</v>
      </c>
      <c r="CU5" s="23">
        <f>X5+Y5</f>
        <v>1135000</v>
      </c>
      <c r="CV5" s="24">
        <f>IF(P5=0,0,(X5+Y5)/P5)</f>
        <v>2.7291762469927767E-2</v>
      </c>
      <c r="CW5" s="23">
        <f t="shared" ref="CW5:CX9" si="6">AU5</f>
        <v>1050000</v>
      </c>
      <c r="CX5" s="23">
        <f t="shared" si="6"/>
        <v>85000</v>
      </c>
      <c r="CY5" s="23">
        <f>AU5+AV5</f>
        <v>1135000</v>
      </c>
      <c r="CZ5" s="24">
        <f>IF(AP5=0,0,(AU5+AV5)/AP5)</f>
        <v>0.45400000000000001</v>
      </c>
      <c r="DA5" s="23">
        <f t="shared" ref="DA5:DB9" si="7">BV5</f>
        <v>-150368.96703246006</v>
      </c>
      <c r="DB5" s="23">
        <f t="shared" si="7"/>
        <v>-18103.637993288321</v>
      </c>
      <c r="DC5" s="23">
        <f>BV5+BW5</f>
        <v>-168472.60502574837</v>
      </c>
      <c r="DD5" s="23">
        <f>AU5+AV5+BV5+BW5</f>
        <v>966527.39497425163</v>
      </c>
      <c r="DE5" s="25">
        <f>VLOOKUP(A5,'[1]Investor Register'!$B:$AB,14,0)</f>
        <v>0.2</v>
      </c>
      <c r="DF5" s="25">
        <f>VLOOKUP(A5,'[1]Investor Register'!$B:$AB,15,0)</f>
        <v>0.08</v>
      </c>
      <c r="DG5" s="26" t="str">
        <f>IF(CR5=0,"N/A",IF(CK5&gt;=VLOOKUP(A5,'[1]Investor Register'!$B:$AB,15,0),"YES","NO"))</f>
        <v>YES</v>
      </c>
      <c r="DH5" s="27">
        <f>IFERROR(VLOOKUP(A5,'[1]Investor Register'!$B:$AB,12,0),"")</f>
        <v>12</v>
      </c>
      <c r="DI5" s="28" t="str">
        <f>IFERROR(VLOOKUP(A5,'[1]Investor Register'!$B:$AB,9,0),"")</f>
        <v>3/15/2024</v>
      </c>
      <c r="DJ5" s="28" t="str">
        <f>IFERROR(VLOOKUP(A5,'[1]Investor Register'!$B:$AB,10,0),"")</f>
        <v>4/1/2024</v>
      </c>
      <c r="DK5" s="28" t="str">
        <f>IFERROR(VLOOKUP(A5,'[1]Investor Register'!$B:$AB,11,0),"")</f>
        <v>4/1/2025</v>
      </c>
      <c r="DL5" s="29" t="str">
        <f>IF(IFERROR(VLOOKUP(A5,'[1]Investor Register'!$B:$AB,11,0),"")&lt;&gt;"",IF(VLOOKUP(A5,'[1]Investor Register'!$B:$AB,11,0)&lt;=DATE(2025,12,31),"YES","NO"),"")</f>
        <v>NO</v>
      </c>
      <c r="DM5" s="29" t="str">
        <f>IF(IFERROR(VLOOKUP(A5,'[1]Investor Register'!$B:$AB,12,0),"")&lt;&gt;"",IF(VLOOKUP(A5,'[1]Investor Register'!$B:$AB,12,0)&lt;=12,"Quarterly","Semi-Annual"),"")</f>
        <v>Quarterly</v>
      </c>
      <c r="DN5" s="29" t="str">
        <f>IF(IFERROR(VLOOKUP(A5,'[1]Investor Register'!$B:$AB,21,0),FALSE())="Yes","25% Gate","Standard")</f>
        <v>25% Gate</v>
      </c>
      <c r="DO5" s="27">
        <f>IF(IFERROR(VLOOKUP(A5,'[1]Investor Register'!$B:$AB,12,0),0)&lt;=12,30,60)</f>
        <v>30</v>
      </c>
      <c r="DP5" s="27">
        <f>IFERROR(MAX(0,DATEDIF(DATE(2025,12,31),VLOOKUP(A5,'[1]Investor Register'!$B:$AB,11,0),"M")),0)</f>
        <v>0</v>
      </c>
      <c r="DQ5" s="30" t="str">
        <f>IFERROR(VLOOKUP(A5,'[1]Investor Register'!$B:$AB,21,0),"")</f>
        <v>Yes</v>
      </c>
      <c r="DR5" s="30" t="str">
        <f>IFERROR(VLOOKUP(A5,'[1]Investor Register'!$B:$AB,20,0),"")</f>
        <v>Yes</v>
      </c>
      <c r="DS5" s="30" t="str">
        <f>IFERROR(VLOOKUP(A5,'[1]Investor Register'!$B:$AB,19,0),"")</f>
        <v>DRIP</v>
      </c>
      <c r="DT5" s="30" t="str">
        <f>IFERROR(VLOOKUP(A5,'[1]Investor Register'!$B:$AB,18,0),"")</f>
        <v>Yes</v>
      </c>
      <c r="DU5" s="30" t="str">
        <f>IFERROR(VLOOKUP(A5,'[1]Investor Register'!$B:$AB,22,0),"")</f>
        <v>USD</v>
      </c>
      <c r="DV5" s="30" t="str">
        <f>IFERROR(VLOOKUP(A5,'[1]Investor Register'!$B:$AB,6,0),"")</f>
        <v>PFFI</v>
      </c>
      <c r="DW5" s="30" t="str">
        <f>IFERROR(VLOOKUP(A5,'[1]Investor Register'!$B:$AB,7,0),"")</f>
        <v>Complete</v>
      </c>
      <c r="DX5" s="30" t="str">
        <f>IFERROR(VLOOKUP(A5,'[1]Investor Register'!$B:$AB,8,0),"")</f>
        <v>QIB</v>
      </c>
      <c r="DY5" s="30" t="str">
        <f>IFERROR(VLOOKUP(A5,'[1]Investor Register'!$B:$AB,25,0),"")</f>
        <v>Goldman Sachs</v>
      </c>
      <c r="DZ5" s="30" t="str">
        <f>IF(OR(IFERROR(VLOOKUP(A5,'[1]Investor Register'!$B:$AB,13,0),0.015)&lt;&gt;0.015,IFERROR(VLOOKUP(A5,'[1]Investor Register'!$B:$AB,15,0),0.08)&lt;&gt;0.08,IFERROR(VLOOKUP(A5,'[1]Investor Register'!$B:$AB,21,0),"No")="Yes"),"⚑ Review","—")</f>
        <v>⚑ Review</v>
      </c>
      <c r="EA5" s="30" t="str">
        <f>IFERROR(VLOOKUP(A5,'[1]Investor Register'!$B:$AB,27,0),"")</f>
        <v>Seed investor</v>
      </c>
      <c r="EB5" s="31">
        <f>IFERROR(VLOOKUP(A5,'[1]Investor Register'!$B:$AB,13,0),"")</f>
        <v>1.4999999999999999E-2</v>
      </c>
      <c r="EC5" s="31">
        <f>IFERROR(VLOOKUP(A5,'[1]Investor Register'!$B:$AB,14,0),"")</f>
        <v>0.2</v>
      </c>
      <c r="ED5" s="31">
        <f>IFERROR(VLOOKUP(A5,'[1]Investor Register'!$B:$AB,15,0),"")</f>
        <v>0.08</v>
      </c>
      <c r="EE5" s="29" t="str">
        <f>IFERROR(VLOOKUP(A5,'[1]Investor Register'!$B:$AB,16,0),"")</f>
        <v>Hard</v>
      </c>
      <c r="EF5" s="29" t="str">
        <f>IFERROR(VLOOKUP(A5,'[1]Investor Register'!$B:$AB,17,0),"")</f>
        <v>100%</v>
      </c>
      <c r="EG5" s="32">
        <f>(BM5+BN5)*VLOOKUP(A5,'[1]Investor Register'!$B:$AB,15,0)</f>
        <v>3207871.2966924817</v>
      </c>
      <c r="EH5" s="32">
        <f>BT5-(BM5+BN5)</f>
        <v>3298389.4866589233</v>
      </c>
      <c r="EI5" s="32">
        <f>MAX(0,EH5-EG5)</f>
        <v>90518.189966441598</v>
      </c>
      <c r="EJ5" s="32">
        <f>IF(VLOOKUP(A5,'[1]Investor Register'!$B:$AB,16,0)="Hard",  MAX(0,EI5)*VLOOKUP(A5,'[1]Investor Register'!$B:$AB,14,0),  IF((BT5-(BM5+BN5))&gt;(BM5+BN5)*VLOOKUP(A5,'[1]Investor Register'!$B:$AB,15,0),    (BT5-(BM5+BN5))*VLOOKUP(A5,'[1]Investor Register'!$B:$AB,14,0),0))</f>
        <v>18103.637993288321</v>
      </c>
      <c r="EK5" s="32">
        <f>EH5+BW5</f>
        <v>3280285.8486656351</v>
      </c>
      <c r="EL5" s="33" t="str">
        <f>IF(EH5&lt;=0,"Return of Capital",IF(EH5&lt;=EG5,"Preferred Return",IF(VLOOKUP(A5,'[1]Investor Register'!$B:$AB,16,0)="Hard","Hard Hurdle — Carried Interest","Soft Hurdle — Carried Interest")))</f>
        <v>Hard Hurdle — Carried Interest</v>
      </c>
    </row>
    <row r="6" spans="1:142" ht="18" customHeight="1" x14ac:dyDescent="0.2">
      <c r="A6" s="34" t="s">
        <v>146</v>
      </c>
      <c r="B6" s="35">
        <v>1045.33</v>
      </c>
      <c r="C6" s="35">
        <v>1026.99</v>
      </c>
      <c r="D6" s="35">
        <v>0</v>
      </c>
      <c r="E6" s="35">
        <v>0</v>
      </c>
      <c r="F6" s="36">
        <f t="shared" si="0"/>
        <v>6.641178090569074</v>
      </c>
      <c r="G6" s="36">
        <f t="shared" si="0"/>
        <v>0</v>
      </c>
      <c r="H6" s="36">
        <f t="shared" si="0"/>
        <v>8.6967808328880736</v>
      </c>
      <c r="I6" s="36">
        <f t="shared" si="0"/>
        <v>1.2649863029655379</v>
      </c>
      <c r="J6" s="36">
        <f>SUM(B6:I6)</f>
        <v>2088.9229452264226</v>
      </c>
      <c r="K6" s="36">
        <f t="shared" si="1"/>
        <v>-12.793445686798281</v>
      </c>
      <c r="L6" s="36">
        <f t="shared" si="1"/>
        <v>-3.4210983248124274</v>
      </c>
      <c r="M6" s="36">
        <f t="shared" si="1"/>
        <v>0</v>
      </c>
      <c r="N6" s="36">
        <f t="shared" si="1"/>
        <v>0</v>
      </c>
      <c r="O6" s="35">
        <v>1063.1500000000001</v>
      </c>
      <c r="P6" s="35">
        <v>5769503.6506114705</v>
      </c>
      <c r="Q6" s="35">
        <v>0</v>
      </c>
      <c r="R6" s="35">
        <v>0</v>
      </c>
      <c r="S6" s="35">
        <v>0</v>
      </c>
      <c r="T6" s="35">
        <f>IF(IFERROR(VLOOKUP(A6,'[1]Investor Register'!$B:$AB,20,0),"No")="Yes",-(AF6+AI6)/(AF$10+AI$10)*AA$4,0)</f>
        <v>0</v>
      </c>
      <c r="U6" s="35">
        <v>-500000</v>
      </c>
      <c r="V6" s="36">
        <v>42000</v>
      </c>
      <c r="W6" s="36">
        <f>$AL6/$AL$10*W$10</f>
        <v>0</v>
      </c>
      <c r="X6" s="36">
        <v>55000</v>
      </c>
      <c r="Y6" s="36">
        <v>8000</v>
      </c>
      <c r="Z6" s="36">
        <f>SUM(P6:Y6)</f>
        <v>5374503.6506114705</v>
      </c>
      <c r="AA6" s="36">
        <f>IF(IFERROR(VLOOKUP(A6,'[1]Investor Register'!$B:$AB,20,0),"No")="Yes",0,(AF6+AI6)/(AF$10+AI$10)*AA$4)</f>
        <v>-80908.042446349325</v>
      </c>
      <c r="AB6" s="36">
        <f>IFERROR(-P6*VLOOKUP(A6,'[1]Investor Register'!$B:$AB,13,0)/4,0)</f>
        <v>-21635.638689793013</v>
      </c>
      <c r="AC6" s="36">
        <v>0</v>
      </c>
      <c r="AD6" s="36">
        <f>$AL6/$AL$10*AD$10</f>
        <v>0</v>
      </c>
      <c r="AE6" s="36">
        <f>SUM(Z6:AD6)</f>
        <v>5271959.969475328</v>
      </c>
      <c r="AF6" s="35">
        <v>6802.4970000000003</v>
      </c>
      <c r="AG6" s="35">
        <v>0</v>
      </c>
      <c r="AH6" s="35">
        <v>0</v>
      </c>
      <c r="AI6" s="35">
        <v>0</v>
      </c>
      <c r="AJ6" s="35">
        <f>IF(T6&lt;&gt;0,T6/O6,0)</f>
        <v>0</v>
      </c>
      <c r="AK6" s="35">
        <v>-478.317851778864</v>
      </c>
      <c r="AL6" s="36">
        <f>SUM(AF6:AK6)</f>
        <v>6324.1791482211365</v>
      </c>
      <c r="AM6" s="35">
        <v>0</v>
      </c>
      <c r="AN6" s="35">
        <v>0</v>
      </c>
      <c r="AO6" s="36">
        <v>0</v>
      </c>
      <c r="AP6" s="36">
        <v>0</v>
      </c>
      <c r="AQ6" s="36">
        <f>IF(IFERROR(VLOOKUP(A6,'[1]Investor Register'!$B:$AB,20,0),"No")="Yes",-(BC6+BF6)/(BC$10+BF$10)*AX$4,0)</f>
        <v>0</v>
      </c>
      <c r="AR6" s="36">
        <v>-500000</v>
      </c>
      <c r="AS6" s="36">
        <v>42000</v>
      </c>
      <c r="AT6" s="36">
        <f>$BI6/$BI$10*AT$10</f>
        <v>0</v>
      </c>
      <c r="AU6" s="36">
        <v>55000</v>
      </c>
      <c r="AV6" s="36">
        <v>8000</v>
      </c>
      <c r="AW6" s="36">
        <f>SUM(AM6:AV6)</f>
        <v>-395000</v>
      </c>
      <c r="AX6" s="36">
        <f>IF(IFERROR(VLOOKUP(A6,'[1]Investor Register'!$B:$AB,20,0),"No")="Yes",0,(BC6+BF6)/(BC$10+BF$10)*AX$4)</f>
        <v>0</v>
      </c>
      <c r="AY6" s="36">
        <v>0</v>
      </c>
      <c r="AZ6" s="36">
        <v>0</v>
      </c>
      <c r="BA6" s="36">
        <v>0</v>
      </c>
      <c r="BB6" s="36">
        <f>SUM(AW6:BA6)</f>
        <v>-395000</v>
      </c>
      <c r="BC6" s="36">
        <v>0</v>
      </c>
      <c r="BD6" s="35">
        <v>0</v>
      </c>
      <c r="BE6" s="36">
        <v>0</v>
      </c>
      <c r="BF6" s="36">
        <v>0</v>
      </c>
      <c r="BG6" s="35">
        <f>IF(AQ6&lt;&gt;0,AQ6/O6,0)</f>
        <v>0</v>
      </c>
      <c r="BH6" s="35">
        <v>-478.317851778864</v>
      </c>
      <c r="BI6" s="36">
        <f>SUM(BC6:BH6)</f>
        <v>-478.317851778864</v>
      </c>
      <c r="BJ6" s="35">
        <v>0</v>
      </c>
      <c r="BK6" s="35">
        <v>6986124.6399999997</v>
      </c>
      <c r="BL6" s="36">
        <v>0</v>
      </c>
      <c r="BM6" s="36">
        <v>0</v>
      </c>
      <c r="BN6" s="36">
        <f>IF(IFERROR(VLOOKUP(A6,'[1]Investor Register'!$B:$AB,20,0),"No")="Yes",-(BZ6+CC6)/(BZ$10+CC$10)*BU$4,0)</f>
        <v>0</v>
      </c>
      <c r="BO6" s="36">
        <v>-500000</v>
      </c>
      <c r="BP6" s="36">
        <f t="shared" si="2"/>
        <v>199207.27585743534</v>
      </c>
      <c r="BQ6" s="36">
        <f t="shared" si="2"/>
        <v>0</v>
      </c>
      <c r="BR6" s="36">
        <f t="shared" si="2"/>
        <v>336553.04202366632</v>
      </c>
      <c r="BS6" s="36">
        <f t="shared" si="2"/>
        <v>26098.499920742539</v>
      </c>
      <c r="BT6" s="36">
        <f>SUM(BJ6:BS6)</f>
        <v>7047983.457801844</v>
      </c>
      <c r="BU6" s="36">
        <f>IF(IFERROR(VLOOKUP(A6,'[1]Investor Register'!$B:$AB,20,0),"No")="Yes",0,(BZ6+CC6)/(BZ$10+CC$10)*BU$4)</f>
        <v>0</v>
      </c>
      <c r="BV6" s="36">
        <f>IFERROR(-(BM6+BN6)*VLOOKUP(A6,'[1]Investor Register'!$B:$AB,13,0)/4,0)</f>
        <v>0</v>
      </c>
      <c r="BW6" s="36">
        <f>IFERROR(IF(VLOOKUP(A6,'[1]Investor Register'!$B:$AB,16,0)="Hard",  -MAX(0,(BT6-(BM6+BN6)-(BM6+BN6)*VLOOKUP(A6,'[1]Investor Register'!$B:$AB,15,0)))*VLOOKUP(A6,'[1]Investor Register'!$B:$AB,14,0),  IF((BT6-(BM6+BN6))&gt;(BM6+BN6)*VLOOKUP(A6,'[1]Investor Register'!$B:$AB,15,0),    -(BT6-(BM6+BN6))*VLOOKUP(A6,'[1]Investor Register'!$B:$AB,14,0),0)),0)</f>
        <v>-1409596.691560369</v>
      </c>
      <c r="BX6" s="35">
        <v>0</v>
      </c>
      <c r="BY6" s="36">
        <f>SUM(BT6:BX6)</f>
        <v>5638386.766241475</v>
      </c>
      <c r="BZ6" s="36">
        <v>0</v>
      </c>
      <c r="CA6" s="35">
        <v>6802.4970000000003</v>
      </c>
      <c r="CB6" s="36">
        <v>0</v>
      </c>
      <c r="CC6" s="36">
        <v>0</v>
      </c>
      <c r="CD6" s="35">
        <f>IF(BN6&lt;&gt;0,BN6/O6,0)</f>
        <v>0</v>
      </c>
      <c r="CE6" s="35">
        <v>0</v>
      </c>
      <c r="CF6" s="36">
        <f>SUM(BZ6:CE6)</f>
        <v>6802.4970000000003</v>
      </c>
      <c r="CG6" s="35">
        <v>5000000</v>
      </c>
      <c r="CH6" s="35" t="s">
        <v>147</v>
      </c>
      <c r="CI6" s="35">
        <v>-5000000</v>
      </c>
      <c r="CJ6" s="35">
        <f>SUM(CG6:CI6)</f>
        <v>0</v>
      </c>
      <c r="CK6" s="18">
        <f>IFERROR(XIRR([1]Cashflow!D7:M7,[1]Cashflow!$D$4:$M$4),0)</f>
        <v>2.9802322387695314E-9</v>
      </c>
      <c r="CL6" s="35">
        <v>0</v>
      </c>
      <c r="CM6" s="37">
        <v>44652</v>
      </c>
      <c r="CN6" s="21">
        <f t="shared" si="3"/>
        <v>1.8915315417719472E-2</v>
      </c>
      <c r="CO6" s="22">
        <f>IF(AP6=0,0,ABS(AX6)/AP6)</f>
        <v>0</v>
      </c>
      <c r="CP6" s="22">
        <f t="shared" si="4"/>
        <v>0</v>
      </c>
      <c r="CQ6" s="22">
        <f>IF(AP6=0,0,(BY6+ABS(AX6))/AP6)</f>
        <v>0</v>
      </c>
      <c r="CR6" s="21">
        <f>IF(OR(CG6=0,NOT(ISNUMBER(CH6))),0,ABS(CH6)/CG6)</f>
        <v>0</v>
      </c>
      <c r="CS6" s="23">
        <f t="shared" si="5"/>
        <v>55000</v>
      </c>
      <c r="CT6" s="23">
        <f t="shared" si="5"/>
        <v>8000</v>
      </c>
      <c r="CU6" s="23">
        <f>X6+Y6</f>
        <v>63000</v>
      </c>
      <c r="CV6" s="24">
        <f>IF(P6=0,0,(X6+Y6)/P6)</f>
        <v>1.091948351455208E-2</v>
      </c>
      <c r="CW6" s="23">
        <f t="shared" si="6"/>
        <v>55000</v>
      </c>
      <c r="CX6" s="23">
        <f t="shared" si="6"/>
        <v>8000</v>
      </c>
      <c r="CY6" s="23">
        <f>AU6+AV6</f>
        <v>63000</v>
      </c>
      <c r="CZ6" s="24">
        <f>IF(AP6=0,0,(AU6+AV6)/AP6)</f>
        <v>0</v>
      </c>
      <c r="DA6" s="23">
        <f t="shared" si="7"/>
        <v>0</v>
      </c>
      <c r="DB6" s="23">
        <f t="shared" si="7"/>
        <v>-1409596.691560369</v>
      </c>
      <c r="DC6" s="23">
        <f>BV6+BW6</f>
        <v>-1409596.691560369</v>
      </c>
      <c r="DD6" s="23">
        <f>AU6+AV6+BV6+BW6</f>
        <v>-1346596.691560369</v>
      </c>
      <c r="DE6" s="25">
        <f>VLOOKUP(A6,'[1]Investor Register'!$B:$AB,14,0)</f>
        <v>0.2</v>
      </c>
      <c r="DF6" s="25">
        <f>VLOOKUP(A6,'[1]Investor Register'!$B:$AB,15,0)</f>
        <v>0.08</v>
      </c>
      <c r="DG6" s="26" t="str">
        <f>IF(CR6=0,"N/A",IF(CK6&gt;=VLOOKUP(A6,'[1]Investor Register'!$B:$AB,15,0),"YES","NO"))</f>
        <v>N/A</v>
      </c>
      <c r="DH6" s="27">
        <f>IFERROR(VLOOKUP(A6,'[1]Investor Register'!$B:$AB,12,0),"")</f>
        <v>12</v>
      </c>
      <c r="DI6" s="28" t="str">
        <f>IFERROR(VLOOKUP(A6,'[1]Investor Register'!$B:$AB,9,0),"")</f>
        <v>9/15/2024</v>
      </c>
      <c r="DJ6" s="28" t="str">
        <f>IFERROR(VLOOKUP(A6,'[1]Investor Register'!$B:$AB,10,0),"")</f>
        <v>10/1/2024</v>
      </c>
      <c r="DK6" s="28" t="str">
        <f>IFERROR(VLOOKUP(A6,'[1]Investor Register'!$B:$AB,11,0),"")</f>
        <v>10/1/2025</v>
      </c>
      <c r="DL6" s="29" t="str">
        <f>IF(IFERROR(VLOOKUP(A6,'[1]Investor Register'!$B:$AB,11,0),"")&lt;&gt;"",IF(VLOOKUP(A6,'[1]Investor Register'!$B:$AB,11,0)&lt;=DATE(2025,12,31),"YES","NO"),"")</f>
        <v>NO</v>
      </c>
      <c r="DM6" s="29" t="str">
        <f>IF(IFERROR(VLOOKUP(A6,'[1]Investor Register'!$B:$AB,12,0),"")&lt;&gt;"",IF(VLOOKUP(A6,'[1]Investor Register'!$B:$AB,12,0)&lt;=12,"Quarterly","Semi-Annual"),"")</f>
        <v>Quarterly</v>
      </c>
      <c r="DN6" s="29" t="str">
        <f>IF(IFERROR(VLOOKUP(A6,'[1]Investor Register'!$B:$AB,21,0),FALSE())="Yes","25% Gate","Standard")</f>
        <v>Standard</v>
      </c>
      <c r="DO6" s="27">
        <f>IF(IFERROR(VLOOKUP(A6,'[1]Investor Register'!$B:$AB,12,0),0)&lt;=12,30,60)</f>
        <v>30</v>
      </c>
      <c r="DP6" s="27">
        <f>IFERROR(MAX(0,DATEDIF(DATE(2025,12,31),VLOOKUP(A6,'[1]Investor Register'!$B:$AB,11,0),"M")),0)</f>
        <v>0</v>
      </c>
      <c r="DQ6" s="30" t="str">
        <f>IFERROR(VLOOKUP(A6,'[1]Investor Register'!$B:$AB,21,0),"")</f>
        <v>No</v>
      </c>
      <c r="DR6" s="30" t="str">
        <f>IFERROR(VLOOKUP(A6,'[1]Investor Register'!$B:$AB,20,0),"")</f>
        <v>No</v>
      </c>
      <c r="DS6" s="30" t="str">
        <f>IFERROR(VLOOKUP(A6,'[1]Investor Register'!$B:$AB,19,0),"")</f>
        <v>Cash</v>
      </c>
      <c r="DT6" s="30" t="str">
        <f>IFERROR(VLOOKUP(A6,'[1]Investor Register'!$B:$AB,18,0),"")</f>
        <v>Yes</v>
      </c>
      <c r="DU6" s="30" t="str">
        <f>IFERROR(VLOOKUP(A6,'[1]Investor Register'!$B:$AB,22,0),"")</f>
        <v>USD</v>
      </c>
      <c r="DV6" s="30" t="str">
        <f>IFERROR(VLOOKUP(A6,'[1]Investor Register'!$B:$AB,6,0),"")</f>
        <v>PFFI</v>
      </c>
      <c r="DW6" s="30" t="str">
        <f>IFERROR(VLOOKUP(A6,'[1]Investor Register'!$B:$AB,7,0),"")</f>
        <v>Complete</v>
      </c>
      <c r="DX6" s="30" t="str">
        <f>IFERROR(VLOOKUP(A6,'[1]Investor Register'!$B:$AB,8,0),"")</f>
        <v>QIB</v>
      </c>
      <c r="DY6" s="30" t="str">
        <f>IFERROR(VLOOKUP(A6,'[1]Investor Register'!$B:$AB,25,0),"")</f>
        <v>Morgan Stanley</v>
      </c>
      <c r="DZ6" s="30" t="str">
        <f>IF(OR(IFERROR(VLOOKUP(A6,'[1]Investor Register'!$B:$AB,13,0),0.015)&lt;&gt;0.015,IFERROR(VLOOKUP(A6,'[1]Investor Register'!$B:$AB,15,0),0.08)&lt;&gt;0.08,IFERROR(VLOOKUP(A6,'[1]Investor Register'!$B:$AB,21,0),"No")="Yes"),"⚑ Review","—")</f>
        <v>—</v>
      </c>
      <c r="EA6" s="30" t="str">
        <f>IFERROR(VLOOKUP(A6,'[1]Investor Register'!$B:$AB,27,0),"")</f>
        <v>Q4 close</v>
      </c>
      <c r="EB6" s="31">
        <f>IFERROR(VLOOKUP(A6,'[1]Investor Register'!$B:$AB,13,0),"")</f>
        <v>1.4999999999999999E-2</v>
      </c>
      <c r="EC6" s="31">
        <f>IFERROR(VLOOKUP(A6,'[1]Investor Register'!$B:$AB,14,0),"")</f>
        <v>0.2</v>
      </c>
      <c r="ED6" s="31">
        <f>IFERROR(VLOOKUP(A6,'[1]Investor Register'!$B:$AB,15,0),"")</f>
        <v>0.08</v>
      </c>
      <c r="EE6" s="29" t="str">
        <f>IFERROR(VLOOKUP(A6,'[1]Investor Register'!$B:$AB,16,0),"")</f>
        <v>Hard</v>
      </c>
      <c r="EF6" s="29" t="str">
        <f>IFERROR(VLOOKUP(A6,'[1]Investor Register'!$B:$AB,17,0),"")</f>
        <v>100%</v>
      </c>
      <c r="EG6" s="32">
        <f>(BM6+BN6)*VLOOKUP(A6,'[1]Investor Register'!$B:$AB,15,0)</f>
        <v>0</v>
      </c>
      <c r="EH6" s="32">
        <f>BT6-(BM6+BN6)</f>
        <v>7047983.457801844</v>
      </c>
      <c r="EI6" s="32">
        <f>MAX(0,EH6-EG6)</f>
        <v>7047983.457801844</v>
      </c>
      <c r="EJ6" s="32">
        <f>IF(VLOOKUP(A6,'[1]Investor Register'!$B:$AB,16,0)="Hard",  MAX(0,EI6)*VLOOKUP(A6,'[1]Investor Register'!$B:$AB,14,0),  IF((BT6-(BM6+BN6))&gt;(BM6+BN6)*VLOOKUP(A6,'[1]Investor Register'!$B:$AB,15,0),    (BT6-(BM6+BN6))*VLOOKUP(A6,'[1]Investor Register'!$B:$AB,14,0),0))</f>
        <v>1409596.691560369</v>
      </c>
      <c r="EK6" s="32">
        <f>EH6+BW6</f>
        <v>5638386.766241475</v>
      </c>
      <c r="EL6" s="33" t="str">
        <f>IF(EH6&lt;=0,"Return of Capital",IF(EH6&lt;=EG6,"Preferred Return",IF(VLOOKUP(A6,'[1]Investor Register'!$B:$AB,16,0)="Hard","Hard Hurdle — Carried Interest","Soft Hurdle — Carried Interest")))</f>
        <v>Hard Hurdle — Carried Interest</v>
      </c>
    </row>
    <row r="7" spans="1:142" ht="18" customHeight="1" x14ac:dyDescent="0.2">
      <c r="A7" s="15" t="s">
        <v>148</v>
      </c>
      <c r="B7" s="17">
        <v>1045.33</v>
      </c>
      <c r="C7" s="17">
        <v>1026.99</v>
      </c>
      <c r="D7" s="17">
        <v>0</v>
      </c>
      <c r="E7" s="17">
        <v>0</v>
      </c>
      <c r="F7" s="18">
        <f t="shared" si="0"/>
        <v>16.398713201391395</v>
      </c>
      <c r="G7" s="18">
        <f t="shared" si="0"/>
        <v>0</v>
      </c>
      <c r="H7" s="18">
        <f t="shared" si="0"/>
        <v>28.797740256101964</v>
      </c>
      <c r="I7" s="18">
        <f t="shared" si="0"/>
        <v>2.3198179650748805</v>
      </c>
      <c r="J7" s="18">
        <f>SUM(B7:I7)</f>
        <v>2119.8362714225677</v>
      </c>
      <c r="K7" s="18">
        <f t="shared" si="1"/>
        <v>0</v>
      </c>
      <c r="L7" s="18">
        <f t="shared" si="1"/>
        <v>-2.6211294721322891</v>
      </c>
      <c r="M7" s="18">
        <f t="shared" si="1"/>
        <v>-8.9790283900871746</v>
      </c>
      <c r="N7" s="18">
        <f t="shared" si="1"/>
        <v>0</v>
      </c>
      <c r="O7" s="17">
        <v>1063.1500000000001</v>
      </c>
      <c r="P7" s="17">
        <v>104853406.03266899</v>
      </c>
      <c r="Q7" s="17">
        <v>0</v>
      </c>
      <c r="R7" s="17">
        <v>0</v>
      </c>
      <c r="S7" s="17">
        <v>0</v>
      </c>
      <c r="T7" s="17">
        <f>IF(IFERROR(VLOOKUP(A7,'[1]Investor Register'!$B:$AB,20,0),"No")="Yes",-(AF7+AI7)/(AF$10+AI$10)*AA$4,0)</f>
        <v>1470400.9681574474</v>
      </c>
      <c r="U7" s="17">
        <v>0</v>
      </c>
      <c r="V7" s="18">
        <v>2050000</v>
      </c>
      <c r="W7" s="18">
        <f>$AL7/$AL$10*W$10</f>
        <v>0</v>
      </c>
      <c r="X7" s="18">
        <v>3600000</v>
      </c>
      <c r="Y7" s="18">
        <v>290000</v>
      </c>
      <c r="Z7" s="18">
        <f>SUM(P7:Y7)</f>
        <v>112263807.00082643</v>
      </c>
      <c r="AA7" s="18">
        <f>IF(IFERROR(VLOOKUP(A7,'[1]Investor Register'!$B:$AB,20,0),"No")="Yes",0,(AF7+AI7)/(AF$10+AI$10)*AA$4)</f>
        <v>0</v>
      </c>
      <c r="AB7" s="18">
        <f>IFERROR(-P7*VLOOKUP(A7,'[1]Investor Register'!$B:$AB,13,0)/4,0)</f>
        <v>-327666.89385209064</v>
      </c>
      <c r="AC7" s="18">
        <v>-1122466.6212295799</v>
      </c>
      <c r="AD7" s="18">
        <f>$AL7/$AL$10*AD$10</f>
        <v>0</v>
      </c>
      <c r="AE7" s="18">
        <f>SUM(Z7:AD7)</f>
        <v>110813673.48574477</v>
      </c>
      <c r="AF7" s="17">
        <v>123626.74800000001</v>
      </c>
      <c r="AG7" s="17">
        <v>0</v>
      </c>
      <c r="AH7" s="17">
        <v>0</v>
      </c>
      <c r="AI7" s="17">
        <v>0</v>
      </c>
      <c r="AJ7" s="17">
        <f>IF(T7&lt;&gt;0,T7/O7,0)</f>
        <v>1383.0606858462561</v>
      </c>
      <c r="AK7" s="17">
        <v>0</v>
      </c>
      <c r="AL7" s="18">
        <f>SUM(AF7:AK7)</f>
        <v>125009.80868584626</v>
      </c>
      <c r="AM7" s="17">
        <v>0</v>
      </c>
      <c r="AN7" s="17">
        <v>0</v>
      </c>
      <c r="AO7" s="18">
        <v>0</v>
      </c>
      <c r="AP7" s="17">
        <v>0</v>
      </c>
      <c r="AQ7" s="18">
        <f>IF(IFERROR(VLOOKUP(A7,'[1]Investor Register'!$B:$AB,20,0),"No")="Yes",-(BC7+BF7)/(BC$10+BF$10)*AX$4,0)</f>
        <v>0</v>
      </c>
      <c r="AR7" s="18">
        <v>0</v>
      </c>
      <c r="AS7" s="18">
        <v>2050000</v>
      </c>
      <c r="AT7" s="18">
        <f>$BI7/$BI$10*AT$10</f>
        <v>0</v>
      </c>
      <c r="AU7" s="18">
        <v>3600000</v>
      </c>
      <c r="AV7" s="18">
        <v>290000</v>
      </c>
      <c r="AW7" s="18">
        <f>SUM(AM7:AV7)</f>
        <v>5940000</v>
      </c>
      <c r="AX7" s="17">
        <f>IF(IFERROR(VLOOKUP(A7,'[1]Investor Register'!$B:$AB,20,0),"No")="Yes",0,(BC7+BF7)/(BC$10+BF$10)*AX$4)</f>
        <v>0</v>
      </c>
      <c r="AY7" s="17">
        <v>0</v>
      </c>
      <c r="AZ7" s="17">
        <v>-1122466.6212295799</v>
      </c>
      <c r="BA7" s="18">
        <v>0</v>
      </c>
      <c r="BB7" s="18">
        <f>SUM(AW7:BA7)</f>
        <v>4817533.3787704203</v>
      </c>
      <c r="BC7" s="18">
        <v>0</v>
      </c>
      <c r="BD7" s="17">
        <v>0</v>
      </c>
      <c r="BE7" s="18">
        <v>0</v>
      </c>
      <c r="BF7" s="18">
        <v>0</v>
      </c>
      <c r="BG7" s="18">
        <f>IF(AQ7&lt;&gt;0,AQ7/O7,0)</f>
        <v>0</v>
      </c>
      <c r="BH7" s="17">
        <v>0</v>
      </c>
      <c r="BI7" s="18">
        <f>SUM(BC7:BH7)</f>
        <v>0</v>
      </c>
      <c r="BJ7" s="17">
        <v>0</v>
      </c>
      <c r="BK7" s="17">
        <v>126963948.38</v>
      </c>
      <c r="BL7" s="18">
        <v>0</v>
      </c>
      <c r="BM7" s="17">
        <v>0</v>
      </c>
      <c r="BN7" s="18">
        <f>IF(IFERROR(VLOOKUP(A7,'[1]Investor Register'!$B:$AB,20,0),"No")="Yes",-(BZ7+CC7)/(BZ$10+CC$10)*BU$4,0)</f>
        <v>0</v>
      </c>
      <c r="BO7" s="18">
        <v>0</v>
      </c>
      <c r="BP7" s="18">
        <f t="shared" si="2"/>
        <v>3620339.3683515983</v>
      </c>
      <c r="BQ7" s="18">
        <f t="shared" si="2"/>
        <v>0</v>
      </c>
      <c r="BR7" s="18">
        <f t="shared" si="2"/>
        <v>6116424.3240229599</v>
      </c>
      <c r="BS7" s="18">
        <f t="shared" si="2"/>
        <v>474307.1070637235</v>
      </c>
      <c r="BT7" s="18">
        <f>SUM(BJ7:BS7)</f>
        <v>137175019.17943826</v>
      </c>
      <c r="BU7" s="17">
        <f>IF(IFERROR(VLOOKUP(A7,'[1]Investor Register'!$B:$AB,20,0),"No")="Yes",0,(BZ7+CC7)/(BZ$10+CC$10)*BU$4)</f>
        <v>0</v>
      </c>
      <c r="BV7" s="17">
        <f>IFERROR(-(BM7+BN7)*VLOOKUP(A7,'[1]Investor Register'!$B:$AB,13,0)/4,0)</f>
        <v>0</v>
      </c>
      <c r="BW7" s="17">
        <f>IFERROR(IF(VLOOKUP(A7,'[1]Investor Register'!$B:$AB,16,0)="Hard",  -MAX(0,(BT7-(BM7+BN7)-(BM7+BN7)*VLOOKUP(A7,'[1]Investor Register'!$B:$AB,15,0)))*VLOOKUP(A7,'[1]Investor Register'!$B:$AB,14,0),  IF((BT7-(BM7+BN7))&gt;(BM7+BN7)*VLOOKUP(A7,'[1]Investor Register'!$B:$AB,15,0),    -(BT7-(BM7+BN7))*VLOOKUP(A7,'[1]Investor Register'!$B:$AB,14,0),0)),0)</f>
        <v>-27435003.835887656</v>
      </c>
      <c r="BX7" s="17">
        <v>0</v>
      </c>
      <c r="BY7" s="18">
        <f>SUM(BT7:BX7)</f>
        <v>109740015.34355061</v>
      </c>
      <c r="BZ7" s="18">
        <v>0</v>
      </c>
      <c r="CA7" s="17">
        <v>123626.74800000001</v>
      </c>
      <c r="CB7" s="18">
        <v>0</v>
      </c>
      <c r="CC7" s="18">
        <v>0</v>
      </c>
      <c r="CD7" s="18">
        <f>IF(BN7&lt;&gt;0,BN7/O7,0)</f>
        <v>0</v>
      </c>
      <c r="CE7" s="17">
        <v>0</v>
      </c>
      <c r="CF7" s="18">
        <f>SUM(BZ7:CE7)</f>
        <v>123626.74800000001</v>
      </c>
      <c r="CG7" s="17">
        <v>80000000</v>
      </c>
      <c r="CH7" s="17" t="s">
        <v>147</v>
      </c>
      <c r="CI7" s="17">
        <v>-80000000</v>
      </c>
      <c r="CJ7" s="17">
        <f>SUM(CG7:CI7)</f>
        <v>0</v>
      </c>
      <c r="CK7" s="18">
        <f>IFERROR(XIRR([1]Cashflow!D8:M8,[1]Cashflow!$D$4:$M$4),0)</f>
        <v>2.9802322387695314E-9</v>
      </c>
      <c r="CL7" s="17">
        <v>0</v>
      </c>
      <c r="CM7" s="20">
        <v>45566</v>
      </c>
      <c r="CN7" s="21">
        <f t="shared" si="3"/>
        <v>0.39758943518450945</v>
      </c>
      <c r="CO7" s="22">
        <f>IF(AP7=0,0,ABS(AX7)/AP7)</f>
        <v>0</v>
      </c>
      <c r="CP7" s="22">
        <f t="shared" si="4"/>
        <v>0</v>
      </c>
      <c r="CQ7" s="22">
        <f>IF(AP7=0,0,(BY7+ABS(AX7))/AP7)</f>
        <v>0</v>
      </c>
      <c r="CR7" s="21">
        <f>IF(OR(CG7=0,NOT(ISNUMBER(CH7))),0,ABS(CH7)/CG7)</f>
        <v>0</v>
      </c>
      <c r="CS7" s="23">
        <f t="shared" si="5"/>
        <v>3600000</v>
      </c>
      <c r="CT7" s="23">
        <f t="shared" si="5"/>
        <v>290000</v>
      </c>
      <c r="CU7" s="23">
        <f>X7+Y7</f>
        <v>3890000</v>
      </c>
      <c r="CV7" s="24">
        <f>IF(P7=0,0,(X7+Y7)/P7)</f>
        <v>3.7099414765677706E-2</v>
      </c>
      <c r="CW7" s="23">
        <f t="shared" si="6"/>
        <v>3600000</v>
      </c>
      <c r="CX7" s="23">
        <f t="shared" si="6"/>
        <v>290000</v>
      </c>
      <c r="CY7" s="23">
        <f>AU7+AV7</f>
        <v>3890000</v>
      </c>
      <c r="CZ7" s="24">
        <f>IF(AP7=0,0,(AU7+AV7)/AP7)</f>
        <v>0</v>
      </c>
      <c r="DA7" s="23">
        <f t="shared" si="7"/>
        <v>0</v>
      </c>
      <c r="DB7" s="23">
        <f t="shared" si="7"/>
        <v>-27435003.835887656</v>
      </c>
      <c r="DC7" s="23">
        <f>BV7+BW7</f>
        <v>-27435003.835887656</v>
      </c>
      <c r="DD7" s="23">
        <f>AU7+AV7+BV7+BW7</f>
        <v>-23545003.835887656</v>
      </c>
      <c r="DE7" s="25">
        <f>VLOOKUP(A7,'[1]Investor Register'!$B:$AB,14,0)</f>
        <v>0.2</v>
      </c>
      <c r="DF7" s="25">
        <f>VLOOKUP(A7,'[1]Investor Register'!$B:$AB,15,0)</f>
        <v>0.06</v>
      </c>
      <c r="DG7" s="26" t="str">
        <f>IF(CR7=0,"N/A",IF(CK7&gt;=VLOOKUP(A7,'[1]Investor Register'!$B:$AB,15,0),"YES","NO"))</f>
        <v>N/A</v>
      </c>
      <c r="DH7" s="27">
        <f>IFERROR(VLOOKUP(A7,'[1]Investor Register'!$B:$AB,12,0),"")</f>
        <v>12</v>
      </c>
      <c r="DI7" s="28" t="str">
        <f>IFERROR(VLOOKUP(A7,'[1]Investor Register'!$B:$AB,9,0),"")</f>
        <v>9/15/2024</v>
      </c>
      <c r="DJ7" s="28" t="str">
        <f>IFERROR(VLOOKUP(A7,'[1]Investor Register'!$B:$AB,10,0),"")</f>
        <v>10/1/2024</v>
      </c>
      <c r="DK7" s="28" t="str">
        <f>IFERROR(VLOOKUP(A7,'[1]Investor Register'!$B:$AB,11,0),"")</f>
        <v>10/1/2025</v>
      </c>
      <c r="DL7" s="29" t="str">
        <f>IF(IFERROR(VLOOKUP(A7,'[1]Investor Register'!$B:$AB,11,0),"")&lt;&gt;"",IF(VLOOKUP(A7,'[1]Investor Register'!$B:$AB,11,0)&lt;=DATE(2025,12,31),"YES","NO"),"")</f>
        <v>NO</v>
      </c>
      <c r="DM7" s="29" t="str">
        <f>IF(IFERROR(VLOOKUP(A7,'[1]Investor Register'!$B:$AB,12,0),"")&lt;&gt;"",IF(VLOOKUP(A7,'[1]Investor Register'!$B:$AB,12,0)&lt;=12,"Quarterly","Semi-Annual"),"")</f>
        <v>Quarterly</v>
      </c>
      <c r="DN7" s="29" t="str">
        <f>IF(IFERROR(VLOOKUP(A7,'[1]Investor Register'!$B:$AB,21,0),FALSE())="Yes","25% Gate","Standard")</f>
        <v>25% Gate</v>
      </c>
      <c r="DO7" s="27">
        <f>IF(IFERROR(VLOOKUP(A7,'[1]Investor Register'!$B:$AB,12,0),0)&lt;=12,30,60)</f>
        <v>30</v>
      </c>
      <c r="DP7" s="27">
        <f>IFERROR(MAX(0,DATEDIF(DATE(2025,12,31),VLOOKUP(A7,'[1]Investor Register'!$B:$AB,11,0),"M")),0)</f>
        <v>0</v>
      </c>
      <c r="DQ7" s="30" t="str">
        <f>IFERROR(VLOOKUP(A7,'[1]Investor Register'!$B:$AB,21,0),"")</f>
        <v>Yes</v>
      </c>
      <c r="DR7" s="30" t="str">
        <f>IFERROR(VLOOKUP(A7,'[1]Investor Register'!$B:$AB,20,0),"")</f>
        <v>Yes</v>
      </c>
      <c r="DS7" s="30" t="str">
        <f>IFERROR(VLOOKUP(A7,'[1]Investor Register'!$B:$AB,19,0),"")</f>
        <v>DRIP</v>
      </c>
      <c r="DT7" s="30" t="str">
        <f>IFERROR(VLOOKUP(A7,'[1]Investor Register'!$B:$AB,18,0),"")</f>
        <v>Yes</v>
      </c>
      <c r="DU7" s="30" t="str">
        <f>IFERROR(VLOOKUP(A7,'[1]Investor Register'!$B:$AB,22,0),"")</f>
        <v>USD</v>
      </c>
      <c r="DV7" s="30" t="str">
        <f>IFERROR(VLOOKUP(A7,'[1]Investor Register'!$B:$AB,6,0),"")</f>
        <v>NFFE</v>
      </c>
      <c r="DW7" s="30" t="str">
        <f>IFERROR(VLOOKUP(A7,'[1]Investor Register'!$B:$AB,7,0),"")</f>
        <v>Complete</v>
      </c>
      <c r="DX7" s="30" t="str">
        <f>IFERROR(VLOOKUP(A7,'[1]Investor Register'!$B:$AB,8,0),"")</f>
        <v>QP</v>
      </c>
      <c r="DY7" s="30" t="str">
        <f>IFERROR(VLOOKUP(A7,'[1]Investor Register'!$B:$AB,25,0),"")</f>
        <v>State Street</v>
      </c>
      <c r="DZ7" s="30" t="str">
        <f>IF(OR(IFERROR(VLOOKUP(A7,'[1]Investor Register'!$B:$AB,13,0),0.015)&lt;&gt;0.015,IFERROR(VLOOKUP(A7,'[1]Investor Register'!$B:$AB,15,0),0.08)&lt;&gt;0.08,IFERROR(VLOOKUP(A7,'[1]Investor Register'!$B:$AB,21,0),"No")="Yes"),"⚑ Review","—")</f>
        <v>⚑ Review</v>
      </c>
      <c r="EA7" s="30" t="str">
        <f>IFERROR(VLOOKUP(A7,'[1]Investor Register'!$B:$AB,27,0),"")</f>
        <v>Endowment mandate</v>
      </c>
      <c r="EB7" s="31">
        <f>IFERROR(VLOOKUP(A7,'[1]Investor Register'!$B:$AB,13,0),"")</f>
        <v>1.2500000000000001E-2</v>
      </c>
      <c r="EC7" s="31">
        <f>IFERROR(VLOOKUP(A7,'[1]Investor Register'!$B:$AB,14,0),"")</f>
        <v>0.2</v>
      </c>
      <c r="ED7" s="31">
        <f>IFERROR(VLOOKUP(A7,'[1]Investor Register'!$B:$AB,15,0),"")</f>
        <v>0.06</v>
      </c>
      <c r="EE7" s="29" t="str">
        <f>IFERROR(VLOOKUP(A7,'[1]Investor Register'!$B:$AB,16,0),"")</f>
        <v>Soft</v>
      </c>
      <c r="EF7" s="29" t="str">
        <f>IFERROR(VLOOKUP(A7,'[1]Investor Register'!$B:$AB,17,0),"")</f>
        <v>100%</v>
      </c>
      <c r="EG7" s="32">
        <f>(BM7+BN7)*VLOOKUP(A7,'[1]Investor Register'!$B:$AB,15,0)</f>
        <v>0</v>
      </c>
      <c r="EH7" s="32">
        <f>BT7-(BM7+BN7)</f>
        <v>137175019.17943826</v>
      </c>
      <c r="EI7" s="32">
        <f>MAX(0,EH7-EG7)</f>
        <v>137175019.17943826</v>
      </c>
      <c r="EJ7" s="32">
        <f>IF(VLOOKUP(A7,'[1]Investor Register'!$B:$AB,16,0)="Hard",  MAX(0,EI7)*VLOOKUP(A7,'[1]Investor Register'!$B:$AB,14,0),  IF((BT7-(BM7+BN7))&gt;(BM7+BN7)*VLOOKUP(A7,'[1]Investor Register'!$B:$AB,15,0),    (BT7-(BM7+BN7))*VLOOKUP(A7,'[1]Investor Register'!$B:$AB,14,0),0))</f>
        <v>27435003.835887656</v>
      </c>
      <c r="EK7" s="32">
        <f>EH7+BW7</f>
        <v>109740015.34355061</v>
      </c>
      <c r="EL7" s="33" t="str">
        <f>IF(EH7&lt;=0,"Return of Capital",IF(EH7&lt;=EG7,"Preferred Return",IF(VLOOKUP(A7,'[1]Investor Register'!$B:$AB,16,0)="Hard","Hard Hurdle — Carried Interest","Soft Hurdle — Carried Interest")))</f>
        <v>Soft Hurdle — Carried Interest</v>
      </c>
    </row>
    <row r="8" spans="1:142" ht="18" customHeight="1" x14ac:dyDescent="0.2">
      <c r="A8" s="34" t="s">
        <v>149</v>
      </c>
      <c r="B8" s="35">
        <v>1045.33</v>
      </c>
      <c r="C8" s="35">
        <v>0</v>
      </c>
      <c r="D8" s="35">
        <v>0</v>
      </c>
      <c r="E8" s="36">
        <v>0</v>
      </c>
      <c r="F8" s="36">
        <f t="shared" si="0"/>
        <v>5.0131682385566352</v>
      </c>
      <c r="G8" s="36">
        <f t="shared" si="0"/>
        <v>0</v>
      </c>
      <c r="H8" s="36">
        <f t="shared" si="0"/>
        <v>2.9489224932686091</v>
      </c>
      <c r="I8" s="36">
        <f t="shared" si="0"/>
        <v>0.58978449865372184</v>
      </c>
      <c r="J8" s="36">
        <f>SUM(B8:I8)</f>
        <v>1053.8818752304787</v>
      </c>
      <c r="K8" s="36">
        <f t="shared" si="1"/>
        <v>-13.235999973977925</v>
      </c>
      <c r="L8" s="36">
        <f t="shared" si="1"/>
        <v>-3.266750133309583</v>
      </c>
      <c r="M8" s="36">
        <f t="shared" si="1"/>
        <v>0</v>
      </c>
      <c r="N8" s="36">
        <f t="shared" si="1"/>
        <v>0</v>
      </c>
      <c r="O8" s="36">
        <v>1063.1500000000001</v>
      </c>
      <c r="P8" s="36">
        <v>14770367.3268975</v>
      </c>
      <c r="Q8" s="36">
        <v>0</v>
      </c>
      <c r="R8" s="36">
        <v>0</v>
      </c>
      <c r="S8" s="17">
        <v>0</v>
      </c>
      <c r="T8" s="36">
        <f>IF(IFERROR(VLOOKUP(A8,'[1]Investor Register'!$B:$AB,20,0),"No")="Yes",-(AF8+AI8)/(AF$10+AI$10)*AA$4,0)</f>
        <v>0</v>
      </c>
      <c r="U8" s="36">
        <v>-2000000</v>
      </c>
      <c r="V8" s="36">
        <v>85000</v>
      </c>
      <c r="W8" s="36">
        <f>$AL8/$AL$10*W$10</f>
        <v>0</v>
      </c>
      <c r="X8" s="36">
        <v>50000</v>
      </c>
      <c r="Y8" s="36">
        <v>10000</v>
      </c>
      <c r="Z8" s="36">
        <f>SUM(P8:Y8)</f>
        <v>12915367.3268975</v>
      </c>
      <c r="AA8" s="36">
        <f>IF(IFERROR(VLOOKUP(A8,'[1]Investor Register'!$B:$AB,20,0),"No")="Yes",0,(AF8+AI8)/(AF$10+AI$10)*AA$4)</f>
        <v>-224420.9538262065</v>
      </c>
      <c r="AB8" s="36">
        <f>IFERROR(-P8*VLOOKUP(A8,'[1]Investor Register'!$B:$AB,13,0)/4,0)</f>
        <v>-55388.877475865622</v>
      </c>
      <c r="AC8" s="36">
        <v>0</v>
      </c>
      <c r="AD8" s="36">
        <f>$AL8/$AL$10*AD$10</f>
        <v>0</v>
      </c>
      <c r="AE8" s="36">
        <f>SUM(Z8:AD8)</f>
        <v>12635557.495595429</v>
      </c>
      <c r="AF8" s="36">
        <v>18868.616999999998</v>
      </c>
      <c r="AG8" s="36">
        <v>0</v>
      </c>
      <c r="AH8" s="36">
        <v>0</v>
      </c>
      <c r="AI8" s="36">
        <v>0</v>
      </c>
      <c r="AJ8" s="36">
        <f>IF(T8&lt;&gt;0,T8/O8,0)</f>
        <v>0</v>
      </c>
      <c r="AK8" s="36">
        <v>-1913.2714071154601</v>
      </c>
      <c r="AL8" s="36">
        <f>SUM(AF8:AK8)</f>
        <v>16955.34559288454</v>
      </c>
      <c r="AM8" s="36">
        <v>0</v>
      </c>
      <c r="AN8" s="36">
        <v>0</v>
      </c>
      <c r="AO8" s="36">
        <v>0</v>
      </c>
      <c r="AP8" s="35">
        <v>0</v>
      </c>
      <c r="AQ8" s="36">
        <f>IF(IFERROR(VLOOKUP(A8,'[1]Investor Register'!$B:$AB,20,0),"No")="Yes",-(BC8+BF8)/(BC$10+BF$10)*AX$4,0)</f>
        <v>0</v>
      </c>
      <c r="AR8" s="36">
        <v>-2000000</v>
      </c>
      <c r="AS8" s="36">
        <v>85000</v>
      </c>
      <c r="AT8" s="36">
        <f>$BI8/$BI$10*AT$10</f>
        <v>0</v>
      </c>
      <c r="AU8" s="36">
        <v>50000</v>
      </c>
      <c r="AV8" s="36">
        <v>10000</v>
      </c>
      <c r="AW8" s="36">
        <f>SUM(AM8:AV8)</f>
        <v>-1855000</v>
      </c>
      <c r="AX8" s="35">
        <f>IF(IFERROR(VLOOKUP(A8,'[1]Investor Register'!$B:$AB,20,0),"No")="Yes",0,(BC8+BF8)/(BC$10+BF$10)*AX$4)</f>
        <v>0</v>
      </c>
      <c r="AY8" s="35">
        <v>0</v>
      </c>
      <c r="AZ8" s="35">
        <v>0</v>
      </c>
      <c r="BA8" s="36">
        <v>0</v>
      </c>
      <c r="BB8" s="36">
        <f>SUM(AW8:BA8)</f>
        <v>-1855000</v>
      </c>
      <c r="BC8" s="36">
        <v>0</v>
      </c>
      <c r="BD8" s="36">
        <v>0</v>
      </c>
      <c r="BE8" s="36">
        <v>0</v>
      </c>
      <c r="BF8" s="36">
        <v>0</v>
      </c>
      <c r="BG8" s="36">
        <f>IF(AQ8&lt;&gt;0,AQ8/O8,0)</f>
        <v>0</v>
      </c>
      <c r="BH8" s="36">
        <v>-1913.2714071154601</v>
      </c>
      <c r="BI8" s="36">
        <f>SUM(BC8:BH8)</f>
        <v>-1913.2714071154601</v>
      </c>
      <c r="BJ8" s="36">
        <v>0</v>
      </c>
      <c r="BK8" s="36">
        <v>0</v>
      </c>
      <c r="BL8" s="36">
        <v>0</v>
      </c>
      <c r="BM8" s="35">
        <v>19377960</v>
      </c>
      <c r="BN8" s="36">
        <f>IF(IFERROR(VLOOKUP(A8,'[1]Investor Register'!$B:$AB,20,0),"No")="Yes",-(BZ8+CC8)/(BZ$10+CC$10)*BU$4,0)</f>
        <v>0</v>
      </c>
      <c r="BO8" s="36">
        <v>-2000000</v>
      </c>
      <c r="BP8" s="36">
        <f t="shared" si="2"/>
        <v>552556.77316245681</v>
      </c>
      <c r="BQ8" s="36">
        <f t="shared" si="2"/>
        <v>0</v>
      </c>
      <c r="BR8" s="36">
        <f t="shared" si="2"/>
        <v>933523.44736491085</v>
      </c>
      <c r="BS8" s="36">
        <f t="shared" si="2"/>
        <v>72391.446740663217</v>
      </c>
      <c r="BT8" s="36">
        <f>SUM(BJ8:BS8)</f>
        <v>18936431.667268034</v>
      </c>
      <c r="BU8" s="35">
        <f>IF(IFERROR(VLOOKUP(A8,'[1]Investor Register'!$B:$AB,20,0),"No")="Yes",0,(BZ8+CC8)/(BZ$10+CC$10)*BU$4)</f>
        <v>-1398617.1813439813</v>
      </c>
      <c r="BV8" s="35">
        <f>IFERROR(-(BM8+BN8)*VLOOKUP(A8,'[1]Investor Register'!$B:$AB,13,0)/4,0)</f>
        <v>-72667.349999999991</v>
      </c>
      <c r="BW8" s="35">
        <f>IFERROR(IF(VLOOKUP(A8,'[1]Investor Register'!$B:$AB,16,0)="Hard",  -MAX(0,(BT8-(BM8+BN8)-(BM8+BN8)*VLOOKUP(A8,'[1]Investor Register'!$B:$AB,15,0)))*VLOOKUP(A8,'[1]Investor Register'!$B:$AB,14,0),  IF((BT8-(BM8+BN8))&gt;(BM8+BN8)*VLOOKUP(A8,'[1]Investor Register'!$B:$AB,15,0),    -(BT8-(BM8+BN8))*VLOOKUP(A8,'[1]Investor Register'!$B:$AB,14,0),0)),0)</f>
        <v>0</v>
      </c>
      <c r="BX8" s="36">
        <v>0</v>
      </c>
      <c r="BY8" s="36">
        <f>SUM(BT8:BX8)</f>
        <v>17465147.135924052</v>
      </c>
      <c r="BZ8" s="36">
        <v>0</v>
      </c>
      <c r="CA8" s="36">
        <v>0</v>
      </c>
      <c r="CB8" s="36">
        <v>0</v>
      </c>
      <c r="CC8" s="36">
        <v>18868.616999999998</v>
      </c>
      <c r="CD8" s="36">
        <f>IF(BN8&lt;&gt;0,BN8/O8,0)</f>
        <v>0</v>
      </c>
      <c r="CE8" s="36">
        <v>0</v>
      </c>
      <c r="CF8" s="36">
        <f>SUM(BZ8:CE8)</f>
        <v>18868.616999999998</v>
      </c>
      <c r="CG8" s="36">
        <v>51000000</v>
      </c>
      <c r="CH8" s="36">
        <v>-14280000</v>
      </c>
      <c r="CI8" s="36">
        <v>0</v>
      </c>
      <c r="CJ8" s="35">
        <f>SUM(CG8:CI8)</f>
        <v>36720000</v>
      </c>
      <c r="CK8" s="18">
        <f>IFERROR(XIRR([1]Cashflow!D9:M9,[1]Cashflow!$D$4:$M$4),0)</f>
        <v>2.9802322387695314E-9</v>
      </c>
      <c r="CL8" s="36">
        <v>0</v>
      </c>
      <c r="CM8" s="37">
        <v>45566</v>
      </c>
      <c r="CN8" s="21">
        <f t="shared" si="3"/>
        <v>4.5335237158810063E-2</v>
      </c>
      <c r="CO8" s="22">
        <f>IF(AP8=0,0,ABS(AX8)/AP8)</f>
        <v>0</v>
      </c>
      <c r="CP8" s="22">
        <f t="shared" si="4"/>
        <v>0</v>
      </c>
      <c r="CQ8" s="22">
        <f>IF(AP8=0,0,(BY8+ABS(AX8))/AP8)</f>
        <v>0</v>
      </c>
      <c r="CR8" s="21">
        <f>IF(OR(CG8=0,NOT(ISNUMBER(CH8))),0,ABS(CH8)/CG8)</f>
        <v>0.28000000000000003</v>
      </c>
      <c r="CS8" s="23">
        <f t="shared" si="5"/>
        <v>50000</v>
      </c>
      <c r="CT8" s="23">
        <f t="shared" si="5"/>
        <v>10000</v>
      </c>
      <c r="CU8" s="23">
        <f>X8+Y8</f>
        <v>60000</v>
      </c>
      <c r="CV8" s="24">
        <f>IF(P8=0,0,(X8+Y8)/P8)</f>
        <v>4.0621873967032164E-3</v>
      </c>
      <c r="CW8" s="23">
        <f t="shared" si="6"/>
        <v>50000</v>
      </c>
      <c r="CX8" s="23">
        <f t="shared" si="6"/>
        <v>10000</v>
      </c>
      <c r="CY8" s="23">
        <f>AU8+AV8</f>
        <v>60000</v>
      </c>
      <c r="CZ8" s="24">
        <f>IF(AP8=0,0,(AU8+AV8)/AP8)</f>
        <v>0</v>
      </c>
      <c r="DA8" s="23">
        <f t="shared" si="7"/>
        <v>-72667.349999999991</v>
      </c>
      <c r="DB8" s="23">
        <f t="shared" si="7"/>
        <v>0</v>
      </c>
      <c r="DC8" s="23">
        <f>BV8+BW8</f>
        <v>-72667.349999999991</v>
      </c>
      <c r="DD8" s="23">
        <f>AU8+AV8+BV8+BW8</f>
        <v>-12667.349999999991</v>
      </c>
      <c r="DE8" s="25">
        <f>VLOOKUP(A8,'[1]Investor Register'!$B:$AB,14,0)</f>
        <v>0.2</v>
      </c>
      <c r="DF8" s="25">
        <f>VLOOKUP(A8,'[1]Investor Register'!$B:$AB,15,0)</f>
        <v>0.08</v>
      </c>
      <c r="DG8" s="26" t="str">
        <f>IF(CR8=0,"N/A",IF(CK8&gt;=VLOOKUP(A8,'[1]Investor Register'!$B:$AB,15,0),"YES","NO"))</f>
        <v>NO</v>
      </c>
      <c r="DH8" s="27">
        <f>IFERROR(VLOOKUP(A8,'[1]Investor Register'!$B:$AB,12,0),"")</f>
        <v>12</v>
      </c>
      <c r="DI8" s="28" t="str">
        <f>IFERROR(VLOOKUP(A8,'[1]Investor Register'!$B:$AB,9,0),"")</f>
        <v>9/15/2024</v>
      </c>
      <c r="DJ8" s="28" t="str">
        <f>IFERROR(VLOOKUP(A8,'[1]Investor Register'!$B:$AB,10,0),"")</f>
        <v>10/1/2024</v>
      </c>
      <c r="DK8" s="28" t="str">
        <f>IFERROR(VLOOKUP(A8,'[1]Investor Register'!$B:$AB,11,0),"")</f>
        <v>10/1/2025</v>
      </c>
      <c r="DL8" s="29" t="str">
        <f>IF(IFERROR(VLOOKUP(A8,'[1]Investor Register'!$B:$AB,11,0),"")&lt;&gt;"",IF(VLOOKUP(A8,'[1]Investor Register'!$B:$AB,11,0)&lt;=DATE(2025,12,31),"YES","NO"),"")</f>
        <v>NO</v>
      </c>
      <c r="DM8" s="29" t="str">
        <f>IF(IFERROR(VLOOKUP(A8,'[1]Investor Register'!$B:$AB,12,0),"")&lt;&gt;"",IF(VLOOKUP(A8,'[1]Investor Register'!$B:$AB,12,0)&lt;=12,"Quarterly","Semi-Annual"),"")</f>
        <v>Quarterly</v>
      </c>
      <c r="DN8" s="29" t="str">
        <f>IF(IFERROR(VLOOKUP(A8,'[1]Investor Register'!$B:$AB,21,0),FALSE())="Yes","25% Gate","Standard")</f>
        <v>Standard</v>
      </c>
      <c r="DO8" s="27">
        <f>IF(IFERROR(VLOOKUP(A8,'[1]Investor Register'!$B:$AB,12,0),0)&lt;=12,30,60)</f>
        <v>30</v>
      </c>
      <c r="DP8" s="27">
        <f>IFERROR(MAX(0,DATEDIF(DATE(2025,12,31),VLOOKUP(A8,'[1]Investor Register'!$B:$AB,11,0),"M")),0)</f>
        <v>0</v>
      </c>
      <c r="DQ8" s="30" t="str">
        <f>IFERROR(VLOOKUP(A8,'[1]Investor Register'!$B:$AB,21,0),"")</f>
        <v>No</v>
      </c>
      <c r="DR8" s="30" t="str">
        <f>IFERROR(VLOOKUP(A8,'[1]Investor Register'!$B:$AB,20,0),"")</f>
        <v>No</v>
      </c>
      <c r="DS8" s="30" t="str">
        <f>IFERROR(VLOOKUP(A8,'[1]Investor Register'!$B:$AB,19,0),"")</f>
        <v>Cash</v>
      </c>
      <c r="DT8" s="30" t="str">
        <f>IFERROR(VLOOKUP(A8,'[1]Investor Register'!$B:$AB,18,0),"")</f>
        <v>No</v>
      </c>
      <c r="DU8" s="30" t="str">
        <f>IFERROR(VLOOKUP(A8,'[1]Investor Register'!$B:$AB,22,0),"")</f>
        <v>USD</v>
      </c>
      <c r="DV8" s="30" t="str">
        <f>IFERROR(VLOOKUP(A8,'[1]Investor Register'!$B:$AB,6,0),"")</f>
        <v>NFFE</v>
      </c>
      <c r="DW8" s="30" t="str">
        <f>IFERROR(VLOOKUP(A8,'[1]Investor Register'!$B:$AB,7,0),"")</f>
        <v>In Review</v>
      </c>
      <c r="DX8" s="30" t="str">
        <f>IFERROR(VLOOKUP(A8,'[1]Investor Register'!$B:$AB,8,0),"")</f>
        <v>QP</v>
      </c>
      <c r="DY8" s="30" t="str">
        <f>IFERROR(VLOOKUP(A8,'[1]Investor Register'!$B:$AB,25,0),"")</f>
        <v>JP Morgan</v>
      </c>
      <c r="DZ8" s="30" t="str">
        <f>IF(OR(IFERROR(VLOOKUP(A8,'[1]Investor Register'!$B:$AB,13,0),0.015)&lt;&gt;0.015,IFERROR(VLOOKUP(A8,'[1]Investor Register'!$B:$AB,15,0),0.08)&lt;&gt;0.08,IFERROR(VLOOKUP(A8,'[1]Investor Register'!$B:$AB,21,0),"No")="Yes"),"⚑ Review","—")</f>
        <v>—</v>
      </c>
      <c r="EA8" s="30" t="str">
        <f>IFERROR(VLOOKUP(A8,'[1]Investor Register'!$B:$AB,27,0),"")</f>
        <v>FO direct</v>
      </c>
      <c r="EB8" s="31">
        <f>IFERROR(VLOOKUP(A8,'[1]Investor Register'!$B:$AB,13,0),"")</f>
        <v>1.4999999999999999E-2</v>
      </c>
      <c r="EC8" s="31">
        <f>IFERROR(VLOOKUP(A8,'[1]Investor Register'!$B:$AB,14,0),"")</f>
        <v>0.2</v>
      </c>
      <c r="ED8" s="31">
        <f>IFERROR(VLOOKUP(A8,'[1]Investor Register'!$B:$AB,15,0),"")</f>
        <v>0.08</v>
      </c>
      <c r="EE8" s="29" t="str">
        <f>IFERROR(VLOOKUP(A8,'[1]Investor Register'!$B:$AB,16,0),"")</f>
        <v>Hard</v>
      </c>
      <c r="EF8" s="29" t="str">
        <f>IFERROR(VLOOKUP(A8,'[1]Investor Register'!$B:$AB,17,0),"")</f>
        <v>100%</v>
      </c>
      <c r="EG8" s="32">
        <f>(BM8+BN8)*VLOOKUP(A8,'[1]Investor Register'!$B:$AB,15,0)</f>
        <v>1550236.8</v>
      </c>
      <c r="EH8" s="32">
        <f>BT8-(BM8+BN8)</f>
        <v>-441528.33273196593</v>
      </c>
      <c r="EI8" s="32">
        <f>MAX(0,EH8-EG8)</f>
        <v>0</v>
      </c>
      <c r="EJ8" s="32">
        <f>IF(VLOOKUP(A8,'[1]Investor Register'!$B:$AB,16,0)="Hard",  MAX(0,EI8)*VLOOKUP(A8,'[1]Investor Register'!$B:$AB,14,0),  IF((BT8-(BM8+BN8))&gt;(BM8+BN8)*VLOOKUP(A8,'[1]Investor Register'!$B:$AB,15,0),    (BT8-(BM8+BN8))*VLOOKUP(A8,'[1]Investor Register'!$B:$AB,14,0),0))</f>
        <v>0</v>
      </c>
      <c r="EK8" s="32">
        <f>EH8+BW8</f>
        <v>-441528.33273196593</v>
      </c>
      <c r="EL8" s="33" t="str">
        <f>IF(EH8&lt;=0,"Return of Capital",IF(EH8&lt;=EG8,"Preferred Return",IF(VLOOKUP(A8,'[1]Investor Register'!$B:$AB,16,0)="Hard","Hard Hurdle — Carried Interest","Soft Hurdle — Carried Interest")))</f>
        <v>Return of Capital</v>
      </c>
    </row>
    <row r="9" spans="1:142" ht="18" customHeight="1" x14ac:dyDescent="0.2">
      <c r="A9" s="15" t="s">
        <v>150</v>
      </c>
      <c r="B9" s="17">
        <v>1045.33</v>
      </c>
      <c r="C9" s="17">
        <v>1026.99</v>
      </c>
      <c r="D9" s="17">
        <v>0</v>
      </c>
      <c r="E9" s="17">
        <v>1045.33</v>
      </c>
      <c r="F9" s="18">
        <f t="shared" si="0"/>
        <v>15.632577770897059</v>
      </c>
      <c r="G9" s="18">
        <f t="shared" si="0"/>
        <v>0</v>
      </c>
      <c r="H9" s="18">
        <f t="shared" si="0"/>
        <v>27.462636624548889</v>
      </c>
      <c r="I9" s="18">
        <f t="shared" si="0"/>
        <v>2.1970109299639109</v>
      </c>
      <c r="J9" s="18">
        <f>SUM(B9:I9)</f>
        <v>3162.9422253254097</v>
      </c>
      <c r="K9" s="18">
        <f t="shared" si="1"/>
        <v>-11.89387403571796</v>
      </c>
      <c r="L9" s="18">
        <f t="shared" si="1"/>
        <v>-2.5433269073730158</v>
      </c>
      <c r="M9" s="18">
        <f t="shared" si="1"/>
        <v>-8.5497796836073672</v>
      </c>
      <c r="N9" s="18">
        <f t="shared" si="1"/>
        <v>0</v>
      </c>
      <c r="O9" s="17">
        <v>1063.1500000000001</v>
      </c>
      <c r="P9" s="17">
        <v>96314859.342511699</v>
      </c>
      <c r="Q9" s="17">
        <v>0</v>
      </c>
      <c r="R9" s="17">
        <v>0</v>
      </c>
      <c r="S9" s="17">
        <v>5000000</v>
      </c>
      <c r="T9" s="17">
        <f>IF(IFERROR(VLOOKUP(A9,'[1]Investor Register'!$B:$AB,20,0),"No")="Yes",-(AF9+AI9)/(AF$10+AI$10)*AA$4,0)</f>
        <v>0</v>
      </c>
      <c r="U9" s="17">
        <v>0</v>
      </c>
      <c r="V9" s="18">
        <v>1850000</v>
      </c>
      <c r="W9" s="18">
        <f>$AL9/$AL$10*W$10</f>
        <v>0</v>
      </c>
      <c r="X9" s="18">
        <v>3250000</v>
      </c>
      <c r="Y9" s="18">
        <v>260000</v>
      </c>
      <c r="Z9" s="18">
        <f>SUM(P9:Y9)</f>
        <v>106674859.3425117</v>
      </c>
      <c r="AA9" s="18">
        <f>IF(IFERROR(VLOOKUP(A9,'[1]Investor Register'!$B:$AB,20,0),"No")="Yes",0,(AF9+AI9)/(AF$10+AI$10)*AA$4)</f>
        <v>-1407552.0549811134</v>
      </c>
      <c r="AB9" s="18">
        <f>IFERROR(-P9*VLOOKUP(A9,'[1]Investor Register'!$B:$AB,13,0)/4,0)</f>
        <v>-300983.93544534908</v>
      </c>
      <c r="AC9" s="18">
        <v>-1011803.21291093</v>
      </c>
      <c r="AD9" s="18">
        <f>$AL9/$AL$10*AD$10</f>
        <v>0</v>
      </c>
      <c r="AE9" s="18">
        <f>SUM(Z9:AD9)</f>
        <v>103954520.1391743</v>
      </c>
      <c r="AF9" s="17">
        <v>113559.428</v>
      </c>
      <c r="AG9" s="17">
        <v>0</v>
      </c>
      <c r="AH9" s="17">
        <v>0</v>
      </c>
      <c r="AI9" s="17">
        <v>4783.1785177886404</v>
      </c>
      <c r="AJ9" s="17">
        <f>IF(T9&lt;&gt;0,T9/O9,0)</f>
        <v>0</v>
      </c>
      <c r="AK9" s="17">
        <v>0</v>
      </c>
      <c r="AL9" s="18">
        <f>SUM(AF9:AK9)</f>
        <v>118342.60651778863</v>
      </c>
      <c r="AM9" s="17">
        <v>0</v>
      </c>
      <c r="AN9" s="17">
        <v>0</v>
      </c>
      <c r="AO9" s="18">
        <v>0</v>
      </c>
      <c r="AP9" s="17">
        <v>5000000</v>
      </c>
      <c r="AQ9" s="17">
        <f>IF(IFERROR(VLOOKUP(A9,'[1]Investor Register'!$B:$AB,20,0),"No")="Yes",-(BC9+BF9)/(BC$10+BF$10)*AX$4,0)</f>
        <v>0</v>
      </c>
      <c r="AR9" s="18">
        <v>0</v>
      </c>
      <c r="AS9" s="18">
        <v>1850000</v>
      </c>
      <c r="AT9" s="18">
        <f>$BI9/$BI$10*AT$10</f>
        <v>0</v>
      </c>
      <c r="AU9" s="18">
        <v>3250000</v>
      </c>
      <c r="AV9" s="18">
        <v>260000</v>
      </c>
      <c r="AW9" s="18">
        <f>SUM(AM9:AV9)</f>
        <v>10360000</v>
      </c>
      <c r="AX9" s="18">
        <f>IF(IFERROR(VLOOKUP(A9,'[1]Investor Register'!$B:$AB,20,0),"No")="Yes",0,(BC9+BF9)/(BC$10+BF$10)*AX$4)</f>
        <v>-2777172.2600000002</v>
      </c>
      <c r="AY9" s="18">
        <v>0</v>
      </c>
      <c r="AZ9" s="18">
        <v>-1011803.21291093</v>
      </c>
      <c r="BA9" s="18">
        <v>0</v>
      </c>
      <c r="BB9" s="18">
        <f>SUM(AW9:BA9)</f>
        <v>6571024.5270890705</v>
      </c>
      <c r="BC9" s="18">
        <v>0</v>
      </c>
      <c r="BD9" s="17">
        <v>0</v>
      </c>
      <c r="BE9" s="18">
        <v>0</v>
      </c>
      <c r="BF9" s="17">
        <v>4783.1785177886404</v>
      </c>
      <c r="BG9" s="17">
        <f>IF(AQ9&lt;&gt;0,AQ9/O9,0)</f>
        <v>0</v>
      </c>
      <c r="BH9" s="17">
        <v>0</v>
      </c>
      <c r="BI9" s="18">
        <f>SUM(BC9:BH9)</f>
        <v>4783.1785177886404</v>
      </c>
      <c r="BJ9" s="17">
        <v>0</v>
      </c>
      <c r="BK9" s="17">
        <v>116624869.84</v>
      </c>
      <c r="BL9" s="18">
        <v>0</v>
      </c>
      <c r="BM9" s="17">
        <v>0</v>
      </c>
      <c r="BN9" s="17">
        <f>IF(IFERROR(VLOOKUP(A9,'[1]Investor Register'!$B:$AB,20,0),"No")="Yes",-(BZ9+CC9)/(BZ$10+CC$10)*BU$4,0)</f>
        <v>0</v>
      </c>
      <c r="BO9" s="18">
        <v>0</v>
      </c>
      <c r="BP9" s="18">
        <f t="shared" si="2"/>
        <v>3325523.5981447054</v>
      </c>
      <c r="BQ9" s="18">
        <f t="shared" si="2"/>
        <v>0</v>
      </c>
      <c r="BR9" s="18">
        <f t="shared" si="2"/>
        <v>5618344.4026314905</v>
      </c>
      <c r="BS9" s="18">
        <f t="shared" si="2"/>
        <v>435682.76805672504</v>
      </c>
      <c r="BT9" s="18">
        <f>SUM(BJ9:BS9)</f>
        <v>126004420.60883293</v>
      </c>
      <c r="BU9" s="18">
        <f>IF(IFERROR(VLOOKUP(A9,'[1]Investor Register'!$B:$AB,20,0),"No")="Yes",0,(BZ9+CC9)/(BZ$10+CC$10)*BU$4)</f>
        <v>0</v>
      </c>
      <c r="BV9" s="18">
        <f>IFERROR(-(BM9+BN9)*VLOOKUP(A9,'[1]Investor Register'!$B:$AB,13,0)/4,0)</f>
        <v>0</v>
      </c>
      <c r="BW9" s="18">
        <f>IFERROR(IF(VLOOKUP(A9,'[1]Investor Register'!$B:$AB,16,0)="Hard",  -MAX(0,(BT9-(BM9+BN9)-(BM9+BN9)*VLOOKUP(A9,'[1]Investor Register'!$B:$AB,15,0)))*VLOOKUP(A9,'[1]Investor Register'!$B:$AB,14,0),  IF((BT9-(BM9+BN9))&gt;(BM9+BN9)*VLOOKUP(A9,'[1]Investor Register'!$B:$AB,15,0),    -(BT9-(BM9+BN9))*VLOOKUP(A9,'[1]Investor Register'!$B:$AB,14,0),0)),0)</f>
        <v>-25200884.121766586</v>
      </c>
      <c r="BX9" s="17">
        <v>0</v>
      </c>
      <c r="BY9" s="18">
        <f>SUM(BT9:BX9)</f>
        <v>100803536.48706634</v>
      </c>
      <c r="BZ9" s="18">
        <v>0</v>
      </c>
      <c r="CA9" s="17">
        <v>113559.428</v>
      </c>
      <c r="CB9" s="18">
        <v>0</v>
      </c>
      <c r="CC9" s="17">
        <v>0</v>
      </c>
      <c r="CD9" s="17">
        <f>IF(BN9&lt;&gt;0,BN9/O9,0)</f>
        <v>0</v>
      </c>
      <c r="CE9" s="17">
        <v>0</v>
      </c>
      <c r="CF9" s="18">
        <f>SUM(BZ9:CE9)</f>
        <v>113559.428</v>
      </c>
      <c r="CG9" s="17">
        <v>72000000</v>
      </c>
      <c r="CH9" s="17" t="s">
        <v>147</v>
      </c>
      <c r="CI9" s="17">
        <v>-72000000</v>
      </c>
      <c r="CJ9" s="17">
        <f>SUM(CG9:CI9)</f>
        <v>0</v>
      </c>
      <c r="CK9" s="18">
        <f>IFERROR(XIRR([1]Cashflow!D10:M10,[1]Cashflow!$D$4:$M$4),0)</f>
        <v>2.9802322387695314E-9</v>
      </c>
      <c r="CL9" s="17">
        <v>0</v>
      </c>
      <c r="CM9" s="20">
        <v>44743</v>
      </c>
      <c r="CN9" s="21">
        <f t="shared" si="3"/>
        <v>0.37297941352271774</v>
      </c>
      <c r="CO9" s="22">
        <f>IF(AP9=0,0,ABS(AX9)/AP9)</f>
        <v>0.55543445200000008</v>
      </c>
      <c r="CP9" s="22">
        <f t="shared" si="4"/>
        <v>20.160707297413268</v>
      </c>
      <c r="CQ9" s="22">
        <f>IF(AP9=0,0,(BY9+ABS(AX9))/AP9)</f>
        <v>20.716141749413271</v>
      </c>
      <c r="CR9" s="21">
        <f>IF(OR(CG9=0,NOT(ISNUMBER(CH9))),0,ABS(CH9)/CG9)</f>
        <v>0</v>
      </c>
      <c r="CS9" s="23">
        <f t="shared" si="5"/>
        <v>3250000</v>
      </c>
      <c r="CT9" s="23">
        <f t="shared" si="5"/>
        <v>260000</v>
      </c>
      <c r="CU9" s="23">
        <f>X9+Y9</f>
        <v>3510000</v>
      </c>
      <c r="CV9" s="24">
        <f>IF(P9=0,0,(X9+Y9)/P9)</f>
        <v>3.6442974884258045E-2</v>
      </c>
      <c r="CW9" s="23">
        <f t="shared" si="6"/>
        <v>3250000</v>
      </c>
      <c r="CX9" s="23">
        <f t="shared" si="6"/>
        <v>260000</v>
      </c>
      <c r="CY9" s="23">
        <f>AU9+AV9</f>
        <v>3510000</v>
      </c>
      <c r="CZ9" s="24">
        <f>IF(AP9=0,0,(AU9+AV9)/AP9)</f>
        <v>0.70199999999999996</v>
      </c>
      <c r="DA9" s="23">
        <f t="shared" si="7"/>
        <v>0</v>
      </c>
      <c r="DB9" s="23">
        <f t="shared" si="7"/>
        <v>-25200884.121766586</v>
      </c>
      <c r="DC9" s="23">
        <f>BV9+BW9</f>
        <v>-25200884.121766586</v>
      </c>
      <c r="DD9" s="23">
        <f>AU9+AV9+BV9+BW9</f>
        <v>-21690884.121766586</v>
      </c>
      <c r="DE9" s="25">
        <f>VLOOKUP(A9,'[1]Investor Register'!$B:$AB,14,0)</f>
        <v>0.2</v>
      </c>
      <c r="DF9" s="25">
        <f>VLOOKUP(A9,'[1]Investor Register'!$B:$AB,15,0)</f>
        <v>0.06</v>
      </c>
      <c r="DG9" s="26" t="str">
        <f>IF(CR9=0,"N/A",IF(CK9&gt;=VLOOKUP(A9,'[1]Investor Register'!$B:$AB,15,0),"YES","NO"))</f>
        <v>N/A</v>
      </c>
      <c r="DH9" s="27">
        <f>IFERROR(VLOOKUP(A9,'[1]Investor Register'!$B:$AB,12,0),"")</f>
        <v>12</v>
      </c>
      <c r="DI9" s="28" t="str">
        <f>IFERROR(VLOOKUP(A9,'[1]Investor Register'!$B:$AB,9,0),"")</f>
        <v>9/15/2024</v>
      </c>
      <c r="DJ9" s="28" t="str">
        <f>IFERROR(VLOOKUP(A9,'[1]Investor Register'!$B:$AB,10,0),"")</f>
        <v>10/1/2024</v>
      </c>
      <c r="DK9" s="28" t="str">
        <f>IFERROR(VLOOKUP(A9,'[1]Investor Register'!$B:$AB,11,0),"")</f>
        <v>10/1/2025</v>
      </c>
      <c r="DL9" s="29" t="str">
        <f>IF(IFERROR(VLOOKUP(A9,'[1]Investor Register'!$B:$AB,11,0),"")&lt;&gt;"",IF(VLOOKUP(A9,'[1]Investor Register'!$B:$AB,11,0)&lt;=DATE(2025,12,31),"YES","NO"),"")</f>
        <v>NO</v>
      </c>
      <c r="DM9" s="29" t="str">
        <f>IF(IFERROR(VLOOKUP(A9,'[1]Investor Register'!$B:$AB,12,0),"")&lt;&gt;"",IF(VLOOKUP(A9,'[1]Investor Register'!$B:$AB,12,0)&lt;=12,"Quarterly","Semi-Annual"),"")</f>
        <v>Quarterly</v>
      </c>
      <c r="DN9" s="29" t="str">
        <f>IF(IFERROR(VLOOKUP(A9,'[1]Investor Register'!$B:$AB,21,0),FALSE())="Yes","25% Gate","Standard")</f>
        <v>25% Gate</v>
      </c>
      <c r="DO9" s="27">
        <f>IF(IFERROR(VLOOKUP(A9,'[1]Investor Register'!$B:$AB,12,0),0)&lt;=12,30,60)</f>
        <v>30</v>
      </c>
      <c r="DP9" s="27">
        <f>IFERROR(MAX(0,DATEDIF(DATE(2025,12,31),VLOOKUP(A9,'[1]Investor Register'!$B:$AB,11,0),"M")),0)</f>
        <v>0</v>
      </c>
      <c r="DQ9" s="30" t="str">
        <f>IFERROR(VLOOKUP(A9,'[1]Investor Register'!$B:$AB,21,0),"")</f>
        <v>Yes</v>
      </c>
      <c r="DR9" s="30" t="str">
        <f>IFERROR(VLOOKUP(A9,'[1]Investor Register'!$B:$AB,20,0),"")</f>
        <v>No</v>
      </c>
      <c r="DS9" s="30" t="str">
        <f>IFERROR(VLOOKUP(A9,'[1]Investor Register'!$B:$AB,19,0),"")</f>
        <v>Cash</v>
      </c>
      <c r="DT9" s="30" t="str">
        <f>IFERROR(VLOOKUP(A9,'[1]Investor Register'!$B:$AB,18,0),"")</f>
        <v>Yes</v>
      </c>
      <c r="DU9" s="30" t="str">
        <f>IFERROR(VLOOKUP(A9,'[1]Investor Register'!$B:$AB,22,0),"")</f>
        <v>USD</v>
      </c>
      <c r="DV9" s="30" t="str">
        <f>IFERROR(VLOOKUP(A9,'[1]Investor Register'!$B:$AB,6,0),"")</f>
        <v>PFFI</v>
      </c>
      <c r="DW9" s="30" t="str">
        <f>IFERROR(VLOOKUP(A9,'[1]Investor Register'!$B:$AB,7,0),"")</f>
        <v>Complete</v>
      </c>
      <c r="DX9" s="30" t="str">
        <f>IFERROR(VLOOKUP(A9,'[1]Investor Register'!$B:$AB,8,0),"")</f>
        <v>QP</v>
      </c>
      <c r="DY9" s="30" t="str">
        <f>IFERROR(VLOOKUP(A9,'[1]Investor Register'!$B:$AB,25,0),"")</f>
        <v>Fidelity</v>
      </c>
      <c r="DZ9" s="30" t="str">
        <f>IF(OR(IFERROR(VLOOKUP(A9,'[1]Investor Register'!$B:$AB,13,0),0.015)&lt;&gt;0.015,IFERROR(VLOOKUP(A9,'[1]Investor Register'!$B:$AB,15,0),0.08)&lt;&gt;0.08,IFERROR(VLOOKUP(A9,'[1]Investor Register'!$B:$AB,21,0),"No")="Yes"),"⚑ Review","—")</f>
        <v>⚑ Review</v>
      </c>
      <c r="EA9" s="30" t="str">
        <f>IFERROR(VLOOKUP(A9,'[1]Investor Register'!$B:$AB,27,0),"")</f>
        <v>Pension plan</v>
      </c>
      <c r="EB9" s="31">
        <f>IFERROR(VLOOKUP(A9,'[1]Investor Register'!$B:$AB,13,0),"")</f>
        <v>1.2500000000000001E-2</v>
      </c>
      <c r="EC9" s="31">
        <f>IFERROR(VLOOKUP(A9,'[1]Investor Register'!$B:$AB,14,0),"")</f>
        <v>0.2</v>
      </c>
      <c r="ED9" s="31">
        <f>IFERROR(VLOOKUP(A9,'[1]Investor Register'!$B:$AB,15,0),"")</f>
        <v>0.06</v>
      </c>
      <c r="EE9" s="29" t="str">
        <f>IFERROR(VLOOKUP(A9,'[1]Investor Register'!$B:$AB,16,0),"")</f>
        <v>Soft</v>
      </c>
      <c r="EF9" s="29" t="str">
        <f>IFERROR(VLOOKUP(A9,'[1]Investor Register'!$B:$AB,17,0),"")</f>
        <v>100%</v>
      </c>
      <c r="EG9" s="32">
        <f>(BM9+BN9)*VLOOKUP(A9,'[1]Investor Register'!$B:$AB,15,0)</f>
        <v>0</v>
      </c>
      <c r="EH9" s="32">
        <f>BT9-(BM9+BN9)</f>
        <v>126004420.60883293</v>
      </c>
      <c r="EI9" s="32">
        <f>MAX(0,EH9-EG9)</f>
        <v>126004420.60883293</v>
      </c>
      <c r="EJ9" s="32">
        <f>IF(VLOOKUP(A9,'[1]Investor Register'!$B:$AB,16,0)="Hard",  MAX(0,EI9)*VLOOKUP(A9,'[1]Investor Register'!$B:$AB,14,0),  IF((BT9-(BM9+BN9))&gt;(BM9+BN9)*VLOOKUP(A9,'[1]Investor Register'!$B:$AB,15,0),    (BT9-(BM9+BN9))*VLOOKUP(A9,'[1]Investor Register'!$B:$AB,14,0),0))</f>
        <v>25200884.121766586</v>
      </c>
      <c r="EK9" s="32">
        <f>EH9+BW9</f>
        <v>100803536.48706634</v>
      </c>
      <c r="EL9" s="33" t="str">
        <f>IF(EH9&lt;=0,"Return of Capital",IF(EH9&lt;=EG9,"Preferred Return",IF(VLOOKUP(A9,'[1]Investor Register'!$B:$AB,16,0)="Hard","Hard Hurdle — Carried Interest","Soft Hurdle — Carried Interest")))</f>
        <v>Soft Hurdle — Carried Interest</v>
      </c>
    </row>
    <row r="10" spans="1:142" s="42" customFormat="1" ht="11.25" customHeight="1" x14ac:dyDescent="0.1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>
        <f t="shared" ref="P10:U10" si="8">SUM(P5:P9)</f>
        <v>263295776.62512106</v>
      </c>
      <c r="Q10" s="38">
        <f t="shared" si="8"/>
        <v>0</v>
      </c>
      <c r="R10" s="38">
        <f t="shared" si="8"/>
        <v>0</v>
      </c>
      <c r="S10" s="38">
        <f t="shared" si="8"/>
        <v>7500000</v>
      </c>
      <c r="T10" s="38">
        <f t="shared" si="8"/>
        <v>1973290.0487463309</v>
      </c>
      <c r="U10" s="38">
        <f t="shared" si="8"/>
        <v>-2500000</v>
      </c>
      <c r="V10" s="38">
        <v>4637000</v>
      </c>
      <c r="W10" s="38">
        <v>0</v>
      </c>
      <c r="X10" s="38">
        <v>8005000</v>
      </c>
      <c r="Y10" s="38">
        <v>653000</v>
      </c>
      <c r="Z10" s="38">
        <f>SUM(Z5:Z9)</f>
        <v>283564066.6738674</v>
      </c>
      <c r="AA10" s="38">
        <v>0</v>
      </c>
      <c r="AB10" s="38">
        <v>-861628.99648471596</v>
      </c>
      <c r="AC10" s="38">
        <v>-2275728.5428464599</v>
      </c>
      <c r="AD10" s="38">
        <v>0</v>
      </c>
      <c r="AE10" s="38">
        <f t="shared" ref="AE10:AR10" si="9">SUM(AE5:AE9)</f>
        <v>278713828.08328253</v>
      </c>
      <c r="AF10" s="38">
        <f t="shared" si="9"/>
        <v>302747.05323220149</v>
      </c>
      <c r="AG10" s="38">
        <f t="shared" si="9"/>
        <v>0</v>
      </c>
      <c r="AH10" s="38">
        <f t="shared" si="9"/>
        <v>0</v>
      </c>
      <c r="AI10" s="38">
        <f t="shared" si="9"/>
        <v>7174.7677766829602</v>
      </c>
      <c r="AJ10" s="38">
        <f t="shared" si="9"/>
        <v>1856.0786800981334</v>
      </c>
      <c r="AK10" s="38">
        <f t="shared" si="9"/>
        <v>-2391.5892588943243</v>
      </c>
      <c r="AL10" s="38">
        <f t="shared" si="9"/>
        <v>309386.31043008831</v>
      </c>
      <c r="AM10" s="38">
        <f t="shared" si="9"/>
        <v>0</v>
      </c>
      <c r="AN10" s="38">
        <f t="shared" si="9"/>
        <v>0</v>
      </c>
      <c r="AO10" s="38">
        <f t="shared" si="9"/>
        <v>0</v>
      </c>
      <c r="AP10" s="38">
        <f t="shared" si="9"/>
        <v>7500000</v>
      </c>
      <c r="AQ10" s="38">
        <f t="shared" si="9"/>
        <v>1388586.1300000001</v>
      </c>
      <c r="AR10" s="38">
        <f t="shared" si="9"/>
        <v>-2500000</v>
      </c>
      <c r="AS10" s="38">
        <v>4637000</v>
      </c>
      <c r="AT10" s="38">
        <v>0</v>
      </c>
      <c r="AU10" s="38">
        <v>8005000</v>
      </c>
      <c r="AV10" s="38">
        <v>653000</v>
      </c>
      <c r="AW10" s="38">
        <f>SUM(AW5:AW9)</f>
        <v>19683586.129999999</v>
      </c>
      <c r="AX10" s="38">
        <v>0</v>
      </c>
      <c r="AY10" s="38">
        <v>-861628.99648471596</v>
      </c>
      <c r="AZ10" s="38">
        <v>-2275728.5428464599</v>
      </c>
      <c r="BA10" s="38">
        <f t="shared" ref="BA10:BO10" si="10">SUM(BA5:BA9)</f>
        <v>625.35</v>
      </c>
      <c r="BB10" s="38">
        <f t="shared" si="10"/>
        <v>14631936.027153537</v>
      </c>
      <c r="BC10" s="38">
        <f t="shared" si="10"/>
        <v>0</v>
      </c>
      <c r="BD10" s="38">
        <f t="shared" si="10"/>
        <v>0</v>
      </c>
      <c r="BE10" s="38">
        <f t="shared" si="10"/>
        <v>0</v>
      </c>
      <c r="BF10" s="38">
        <f t="shared" si="10"/>
        <v>7174.7677766829602</v>
      </c>
      <c r="BG10" s="38">
        <f t="shared" si="10"/>
        <v>1306.1055636551757</v>
      </c>
      <c r="BH10" s="38">
        <f t="shared" si="10"/>
        <v>-2391.5892588943243</v>
      </c>
      <c r="BI10" s="38">
        <f t="shared" si="10"/>
        <v>6089.2840814438132</v>
      </c>
      <c r="BJ10" s="38">
        <f t="shared" si="10"/>
        <v>0</v>
      </c>
      <c r="BK10" s="38">
        <f t="shared" si="10"/>
        <v>250574942.86000001</v>
      </c>
      <c r="BL10" s="38">
        <f t="shared" si="10"/>
        <v>0</v>
      </c>
      <c r="BM10" s="38">
        <f t="shared" si="10"/>
        <v>56709210</v>
      </c>
      <c r="BN10" s="38">
        <f t="shared" si="10"/>
        <v>2767141.2086560186</v>
      </c>
      <c r="BO10" s="38">
        <f t="shared" si="10"/>
        <v>-2500000</v>
      </c>
      <c r="BP10" s="38">
        <v>8867072.3699999992</v>
      </c>
      <c r="BQ10" s="38">
        <v>0</v>
      </c>
      <c r="BR10" s="38">
        <v>14980578.23</v>
      </c>
      <c r="BS10" s="38">
        <v>1161690.94</v>
      </c>
      <c r="BT10" s="38">
        <f>SUM(BT5:BT9)</f>
        <v>332560635.60865605</v>
      </c>
      <c r="BU10" s="38">
        <v>-4165758.39</v>
      </c>
      <c r="BV10" s="38">
        <v>-861628.99648471596</v>
      </c>
      <c r="BW10" s="38">
        <v>-2275728.5428464599</v>
      </c>
      <c r="BX10" s="38">
        <f t="shared" ref="BX10:CL10" si="11">SUM(BX5:BX9)</f>
        <v>625.35</v>
      </c>
      <c r="BY10" s="38">
        <f t="shared" si="11"/>
        <v>276876019.17307168</v>
      </c>
      <c r="BZ10" s="38">
        <f t="shared" si="11"/>
        <v>0</v>
      </c>
      <c r="CA10" s="38">
        <f t="shared" si="11"/>
        <v>243988.67300000001</v>
      </c>
      <c r="CB10" s="38">
        <f t="shared" si="11"/>
        <v>0</v>
      </c>
      <c r="CC10" s="38">
        <f t="shared" si="11"/>
        <v>56199.866999999998</v>
      </c>
      <c r="CD10" s="38">
        <f t="shared" si="11"/>
        <v>2602.7759099431109</v>
      </c>
      <c r="CE10" s="38">
        <f t="shared" si="11"/>
        <v>0</v>
      </c>
      <c r="CF10" s="38">
        <f t="shared" si="11"/>
        <v>302791.31590994314</v>
      </c>
      <c r="CG10" s="38">
        <f t="shared" si="11"/>
        <v>235500000</v>
      </c>
      <c r="CH10" s="38">
        <f t="shared" si="11"/>
        <v>-41780000</v>
      </c>
      <c r="CI10" s="38">
        <f t="shared" si="11"/>
        <v>-157000000</v>
      </c>
      <c r="CJ10" s="38">
        <f t="shared" si="11"/>
        <v>36720000</v>
      </c>
      <c r="CK10" s="38">
        <f t="shared" si="11"/>
        <v>0.35218012928962705</v>
      </c>
      <c r="CL10" s="38">
        <f t="shared" si="11"/>
        <v>0.34028603434562688</v>
      </c>
      <c r="CM10" s="38"/>
      <c r="CN10" s="39">
        <f t="shared" si="3"/>
        <v>1</v>
      </c>
      <c r="CO10" s="40">
        <f>IF(AP10=0,"-",ABS(AX10)/AP10)</f>
        <v>0</v>
      </c>
      <c r="CP10" s="40">
        <f t="shared" si="4"/>
        <v>36.916802556409557</v>
      </c>
      <c r="CQ10" s="40">
        <f>IF(AP10=0,"-",(BY10+ABS(AX10))/AP10)</f>
        <v>36.916802556409557</v>
      </c>
      <c r="CR10" s="39">
        <f>IF(CG10=0,"-",ABS(CH10)/CG10)</f>
        <v>0.17740976645435244</v>
      </c>
      <c r="CS10" s="41">
        <f>SUM(CN5:CN9)</f>
        <v>1</v>
      </c>
      <c r="CT10" s="41">
        <f>SUM(CO5:CO9)</f>
        <v>0.55543445200000008</v>
      </c>
      <c r="CU10" s="41">
        <f>SUM(CP5:CP9)</f>
        <v>37.452280673528946</v>
      </c>
      <c r="CW10" s="41">
        <f>SUM(IFERROR(CR5:CR9*1,0))</f>
        <v>0</v>
      </c>
      <c r="CX10" s="41">
        <f>SUM(CS5:CS9)</f>
        <v>8005000</v>
      </c>
      <c r="CY10" s="41">
        <f>SUM(CT5:CT9)</f>
        <v>653000</v>
      </c>
      <c r="DA10" s="41">
        <f>SUM(DA5:DA9)</f>
        <v>-223036.31703246007</v>
      </c>
      <c r="DB10" s="41">
        <f>SUM(DB5:DB9)</f>
        <v>-54063588.287207901</v>
      </c>
      <c r="DC10" s="41">
        <f>SUM(DC5:DC9)</f>
        <v>-54286624.604240358</v>
      </c>
      <c r="DD10" s="41">
        <f>SUM(DD5:DD9)</f>
        <v>-45628624.604240358</v>
      </c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4">
        <f>SUM(EG5:EG9)</f>
        <v>4758108.096692482</v>
      </c>
      <c r="EH10" s="44">
        <f>SUM(EH5:EH9)</f>
        <v>273084284.39999998</v>
      </c>
      <c r="EI10" s="44">
        <f>SUM(EI5:EI9)</f>
        <v>270317941.43603945</v>
      </c>
      <c r="EJ10" s="44">
        <f>SUM(EJ5:EJ9)</f>
        <v>54063588.287207901</v>
      </c>
      <c r="EK10" s="44">
        <f>SUM(EK5:EK9)</f>
        <v>219020696.1127921</v>
      </c>
      <c r="EL10" s="43"/>
    </row>
  </sheetData>
  <mergeCells count="3">
    <mergeCell ref="DH2:DP2"/>
    <mergeCell ref="DQ2:EA2"/>
    <mergeCell ref="EB2:EL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Madhivanan</dc:creator>
  <cp:lastModifiedBy>Samarth Madhivanan</cp:lastModifiedBy>
  <dcterms:created xsi:type="dcterms:W3CDTF">2026-05-29T07:29:54Z</dcterms:created>
  <dcterms:modified xsi:type="dcterms:W3CDTF">2026-05-29T07:30:24Z</dcterms:modified>
</cp:coreProperties>
</file>