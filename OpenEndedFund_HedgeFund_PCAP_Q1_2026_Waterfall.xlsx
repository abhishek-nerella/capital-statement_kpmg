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P" sheetId="1" state="visible" r:id="rId1"/>
    <sheet xmlns:r="http://schemas.openxmlformats.org/officeDocument/2006/relationships" name="Investor Register" sheetId="2" state="visible" r:id="rId2"/>
    <sheet xmlns:r="http://schemas.openxmlformats.org/officeDocument/2006/relationships" name="CF Ledger" sheetId="3" state="visible" r:id="rId3"/>
    <sheet xmlns:r="http://schemas.openxmlformats.org/officeDocument/2006/relationships" name="Waterfall" sheetId="4" state="visible" r:id="rId4"/>
  </sheets>
  <definedNames>
    <definedName name="_xlnm._FilterDatabase" localSheetId="2" hidden="1">'CF Ledger'!$A$4:$L$4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338D"/>
      <sz val="10"/>
    </font>
  </fonts>
  <fills count="6">
    <fill>
      <patternFill/>
    </fill>
    <fill>
      <patternFill patternType="gray125"/>
    </fill>
    <fill>
      <patternFill patternType="solid">
        <fgColor rgb="0000338D"/>
      </patternFill>
    </fill>
    <fill>
      <patternFill patternType="solid">
        <fgColor rgb="000C233C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.55" customWidth="1" min="1" max="1"/>
    <col width="32.3" customWidth="1" min="2" max="2"/>
    <col width="22.1" customWidth="1" min="3" max="3"/>
    <col width="22.95" customWidth="1" min="4" max="4"/>
    <col width="26.35" customWidth="1" min="5" max="5"/>
    <col width="32.3" customWidth="1" min="6" max="6"/>
    <col width="24.65" customWidth="1" min="7" max="7"/>
    <col width="30.6" customWidth="1" min="8" max="8"/>
    <col width="29.75" customWidth="1" min="9" max="9"/>
    <col width="40.8" customWidth="1" min="10" max="10"/>
    <col width="27.2" customWidth="1" min="11" max="11"/>
    <col width="36.55" customWidth="1" min="12" max="12"/>
    <col width="20.4" customWidth="1" min="13" max="13"/>
    <col width="55.25" customWidth="1" min="14" max="14"/>
    <col width="29.75" customWidth="1" min="15" max="15"/>
    <col width="25.5" customWidth="1" min="16" max="16"/>
    <col width="19.55" customWidth="1" min="17" max="17"/>
    <col width="20.4" customWidth="1" min="18" max="18"/>
    <col width="19.55" customWidth="1" min="19" max="19"/>
    <col width="22.1" customWidth="1" min="20" max="20"/>
    <col width="17.85" customWidth="1" min="21" max="21"/>
    <col width="33.15" customWidth="1" min="22" max="22"/>
    <col width="17.85" customWidth="1" min="23" max="23"/>
    <col width="23.8" customWidth="1" min="24" max="24"/>
    <col width="22.95" customWidth="1" min="25" max="25"/>
    <col width="34" customWidth="1" min="26" max="26"/>
    <col width="20.4" customWidth="1" min="27" max="27"/>
    <col width="30.6" customWidth="1" min="28" max="28"/>
    <col width="13.6" customWidth="1" min="29" max="29"/>
    <col width="48.45" customWidth="1" min="30" max="30"/>
    <col width="22.95" customWidth="1" min="31" max="31"/>
    <col width="30.6" customWidth="1" min="32" max="32"/>
    <col width="17" customWidth="1" min="33" max="33"/>
    <col width="17.85" customWidth="1" min="34" max="34"/>
    <col width="24.65" customWidth="1" min="35" max="35"/>
    <col width="27.2" customWidth="1" min="36" max="36"/>
    <col width="22.95" customWidth="1" min="37" max="37"/>
    <col width="28.05" customWidth="1" min="38" max="38"/>
    <col width="26.35" customWidth="1" min="39" max="39"/>
    <col width="20.4" customWidth="1" min="40" max="40"/>
    <col width="21.25" customWidth="1" min="41" max="41"/>
    <col width="20.4" customWidth="1" min="42" max="42"/>
    <col width="22.95" customWidth="1" min="43" max="43"/>
    <col width="18.7" customWidth="1" min="44" max="44"/>
    <col width="34" customWidth="1" min="45" max="45"/>
    <col width="18.7" customWidth="1" min="46" max="46"/>
    <col width="24.65" customWidth="1" min="47" max="47"/>
    <col width="23.8" customWidth="1" min="48" max="48"/>
    <col width="32.3" customWidth="1" min="49" max="49"/>
    <col width="21.25" customWidth="1" min="50" max="50"/>
    <col width="30.6" customWidth="1" min="51" max="51"/>
    <col width="14.45" customWidth="1" min="52" max="52"/>
    <col width="49.3" customWidth="1" min="53" max="53"/>
    <col width="23.8" customWidth="1" min="54" max="54"/>
    <col width="31.45" customWidth="1" min="55" max="55"/>
    <col width="17.85" customWidth="1" min="56" max="56"/>
    <col width="18.7" customWidth="1" min="57" max="57"/>
    <col width="25.5" customWidth="1" min="58" max="58"/>
    <col width="28.05" customWidth="1" min="59" max="59"/>
    <col width="23.8" customWidth="1" min="60" max="60"/>
    <col width="28.9" customWidth="1" min="61" max="61"/>
    <col width="26.35" customWidth="1" min="62" max="62"/>
    <col width="20.4" customWidth="1" min="63" max="63"/>
    <col width="21.25" customWidth="1" min="64" max="64"/>
    <col width="20.4" customWidth="1" min="65" max="65"/>
    <col width="22.95" customWidth="1" min="66" max="66"/>
    <col width="18.7" customWidth="1" min="67" max="67"/>
    <col width="34" customWidth="1" min="68" max="68"/>
    <col width="18.7" customWidth="1" min="69" max="69"/>
    <col width="24.65" customWidth="1" min="70" max="70"/>
    <col width="23.8" customWidth="1" min="71" max="71"/>
    <col width="31.45" customWidth="1" min="72" max="72"/>
    <col width="21.25" customWidth="1" min="73" max="73"/>
    <col width="30.6" customWidth="1" min="74" max="74"/>
    <col width="15.3" customWidth="1" min="75" max="75"/>
    <col width="49.3" customWidth="1" min="76" max="76"/>
    <col width="23.8" customWidth="1" min="77" max="77"/>
    <col width="31.45" customWidth="1" min="78" max="78"/>
    <col width="17.85" customWidth="1" min="79" max="79"/>
    <col width="18.7" customWidth="1" min="80" max="80"/>
    <col width="25.5" customWidth="1" min="81" max="81"/>
    <col width="28.05" customWidth="1" min="82" max="82"/>
    <col width="23.8" customWidth="1" min="83" max="83"/>
    <col width="28.9" customWidth="1" min="84" max="84"/>
    <col width="20.4" customWidth="1" min="85" max="85"/>
    <col width="21.25" customWidth="1" min="86" max="86"/>
    <col width="18.7" customWidth="1" min="87" max="87"/>
    <col width="17" customWidth="1" min="88" max="88"/>
    <col width="12" customWidth="1" min="89" max="89"/>
    <col width="12" customWidth="1" min="90" max="90"/>
    <col width="19.55" customWidth="1" min="91" max="91"/>
    <col width="12" customWidth="1" min="92" max="92"/>
    <col width="12" customWidth="1" min="93" max="93"/>
    <col width="12" customWidth="1" min="94" max="94"/>
    <col width="12" customWidth="1" min="95" max="95"/>
    <col width="16.15" customWidth="1" min="96" max="96"/>
    <col width="18.7" customWidth="1" min="97" max="97"/>
    <col width="17" customWidth="1" min="98" max="98"/>
    <col width="16.15" customWidth="1" min="99" max="99"/>
    <col width="14.45" customWidth="1" min="100" max="100"/>
    <col width="19.55" customWidth="1" min="101" max="101"/>
    <col width="17.85" customWidth="1" min="102" max="102"/>
    <col width="17" customWidth="1" min="103" max="103"/>
    <col width="15.3" customWidth="1" min="104" max="104"/>
    <col width="13.6" customWidth="1" min="105" max="105"/>
    <col width="17.85" customWidth="1" min="106" max="106"/>
    <col width="15.3" customWidth="1" min="107" max="107"/>
    <col width="15.3" customWidth="1" min="108" max="108"/>
    <col width="15.3" customWidth="1" min="109" max="109"/>
    <col width="13.6" customWidth="1" min="110" max="110"/>
    <col width="13.6" customWidth="1" min="111" max="111"/>
    <col width="19.55" customWidth="1" min="112" max="112"/>
    <col width="14.45" customWidth="1" min="113" max="113"/>
    <col width="19.55" customWidth="1" min="114" max="114"/>
    <col width="22.95" customWidth="1" min="115" max="115"/>
    <col width="13.6" customWidth="1" min="116" max="116"/>
    <col width="17" customWidth="1" min="117" max="117"/>
    <col width="12" customWidth="1" min="118" max="118"/>
    <col width="17" customWidth="1" min="119" max="119"/>
    <col width="13.6" customWidth="1" min="120" max="120"/>
    <col width="17.85" customWidth="1" min="121" max="121"/>
    <col width="12" customWidth="1" min="122" max="122"/>
    <col width="19.55" customWidth="1" min="123" max="123"/>
    <col width="19.55" customWidth="1" min="124" max="124"/>
    <col width="15.3" customWidth="1" min="125" max="125"/>
    <col width="12" customWidth="1" min="126" max="126"/>
    <col width="12" customWidth="1" min="127" max="127"/>
    <col width="18.7" customWidth="1" min="128" max="128"/>
    <col width="20.4" customWidth="1" min="129" max="129"/>
    <col width="13.6" customWidth="1" min="130" max="130"/>
    <col width="16.15" customWidth="1" min="131" max="131"/>
    <col width="12" customWidth="1" min="132" max="132"/>
    <col width="15.3" customWidth="1" min="133" max="133"/>
    <col width="13.6" customWidth="1" min="134" max="134"/>
    <col width="12" customWidth="1" min="135" max="135"/>
    <col width="12" customWidth="1" min="136" max="136"/>
    <col width="17.85" customWidth="1" min="137" max="137"/>
    <col width="17" customWidth="1" min="138" max="138"/>
    <col width="18.7" customWidth="1" min="139" max="139"/>
    <col width="18.7" customWidth="1" min="140" max="140"/>
    <col width="22.1" customWidth="1" min="141" max="141"/>
    <col width="12" customWidth="1" min="142" max="142"/>
  </cols>
  <sheetData>
    <row r="1" ht="18" customHeight="1">
      <c r="B1" s="1" t="inlineStr">
        <is>
          <t>Unit Prices</t>
        </is>
      </c>
      <c r="P1" s="1" t="inlineStr">
        <is>
          <t>CQ Capital ($)</t>
        </is>
      </c>
      <c r="AF1" s="1" t="inlineStr">
        <is>
          <t>CQ Units</t>
        </is>
      </c>
      <c r="AM1" s="1" t="inlineStr">
        <is>
          <t>YTD Capital ($)</t>
        </is>
      </c>
      <c r="BC1" s="1" t="inlineStr">
        <is>
          <t>YTD Units</t>
        </is>
      </c>
      <c r="BJ1" s="1" t="inlineStr">
        <is>
          <t>ITD Capital ($)</t>
        </is>
      </c>
      <c r="BZ1" s="1" t="inlineStr">
        <is>
          <t>ITD Units</t>
        </is>
      </c>
      <c r="CG1" s="1" t="inlineStr">
        <is>
          <t>Commitments</t>
        </is>
      </c>
      <c r="CK1" s="1" t="inlineStr">
        <is>
          <t>Analytics</t>
        </is>
      </c>
      <c r="DH1" s="1" t="inlineStr">
        <is>
          <t>Lock-up &amp; Redemption Terms</t>
        </is>
      </c>
      <c r="DQ1" s="1" t="inlineStr">
        <is>
          <t>Side Letter Terms</t>
        </is>
      </c>
      <c r="EB1" s="1" t="inlineStr">
        <is>
          <t>Waterfall &amp; Fee Parameters</t>
        </is>
      </c>
    </row>
    <row r="2" ht="32" customHeight="1">
      <c r="A2" s="2" t="inlineStr">
        <is>
          <t>Investor Name - Legal Name from Master List</t>
        </is>
      </c>
      <c r="B2" s="2" t="inlineStr">
        <is>
          <t>Beginning Partner's Capital Unit Price</t>
        </is>
      </c>
      <c r="C2" s="2" t="inlineStr">
        <is>
          <t>Transfer of Units Price In</t>
        </is>
      </c>
      <c r="D2" s="2" t="inlineStr">
        <is>
          <t>Transfer of Units Price Out</t>
        </is>
      </c>
      <c r="E2" s="2" t="inlineStr">
        <is>
          <t>Capital Contribution Unit Price</t>
        </is>
      </c>
      <c r="F2" s="2" t="inlineStr">
        <is>
          <t>Investment and Other Income Unit Price</t>
        </is>
      </c>
      <c r="G2" s="2" t="inlineStr">
        <is>
          <t>Fund Level Expense Unit Price</t>
        </is>
      </c>
      <c r="H2" s="2" t="inlineStr">
        <is>
          <t>Net Unrealized Gain(Loss) Unit Price</t>
        </is>
      </c>
      <c r="I2" s="2" t="inlineStr">
        <is>
          <t>Net Realized Gain (Loss) Unit Price</t>
        </is>
      </c>
      <c r="J2" s="2" t="inlineStr">
        <is>
          <t>Partner's Equity Before Distributions Unit Price</t>
        </is>
      </c>
      <c r="K2" s="2" t="inlineStr">
        <is>
          <t>Distr Declared to LPs Unit Price</t>
        </is>
      </c>
      <c r="L2" s="2" t="inlineStr">
        <is>
          <t>Distr Redirected to Mgr for Fees Unit Price</t>
        </is>
      </c>
      <c r="M2" s="2" t="inlineStr">
        <is>
          <t>Incentive Fee Unit Price</t>
        </is>
      </c>
      <c r="N2" s="2" t="inlineStr">
        <is>
          <t>Reduction of Distributions for Investor Specific Taxes Unit Price</t>
        </is>
      </c>
      <c r="O2" s="2" t="inlineStr">
        <is>
          <t>Ending Partner's Capital Unit Price</t>
        </is>
      </c>
      <c r="P2" s="2" t="inlineStr">
        <is>
          <t>Beginning Partner's Capital CQ</t>
        </is>
      </c>
      <c r="Q2" s="2" t="inlineStr">
        <is>
          <t>Transfer of Units In CQ</t>
        </is>
      </c>
      <c r="R2" s="2" t="inlineStr">
        <is>
          <t>Transfer of Units Out CQ</t>
        </is>
      </c>
      <c r="S2" s="2" t="inlineStr">
        <is>
          <t>Capital Contribution CQ</t>
        </is>
      </c>
      <c r="T2" s="2" t="inlineStr">
        <is>
          <t>Contr from Div Reinvest CQ</t>
        </is>
      </c>
      <c r="U2" s="2" t="inlineStr">
        <is>
          <t>Capital Redemption CQ</t>
        </is>
      </c>
      <c r="V2" s="2" t="inlineStr">
        <is>
          <t>Investment Income (Loss Before Fees) CQ</t>
        </is>
      </c>
      <c r="W2" s="2" t="inlineStr">
        <is>
          <t>Fund Level Expense CQ</t>
        </is>
      </c>
      <c r="X2" s="2" t="inlineStr">
        <is>
          <t>Net Unrealized Gain(Loss) CQ</t>
        </is>
      </c>
      <c r="Y2" s="2" t="inlineStr">
        <is>
          <t>Net Realized Gain (Loss) CQ</t>
        </is>
      </c>
      <c r="Z2" s="2" t="inlineStr">
        <is>
          <t>Partner's Equity Before Distributions CQ</t>
        </is>
      </c>
      <c r="AA2" s="2" t="inlineStr">
        <is>
          <t>Distr Declared to LPs CQ</t>
        </is>
      </c>
      <c r="AB2" s="2" t="inlineStr">
        <is>
          <t>Distri Redirected to Mgr for Fees CQ</t>
        </is>
      </c>
      <c r="AC2" s="2" t="inlineStr">
        <is>
          <t>Incentive Fee CQ</t>
        </is>
      </c>
      <c r="AD2" s="2" t="inlineStr">
        <is>
          <t>Reduction of Distributions for Investor Specific Taxes CQ</t>
        </is>
      </c>
      <c r="AE2" s="2" t="inlineStr">
        <is>
          <t>Ending Partner's Capital CQ</t>
        </is>
      </c>
      <c r="AF2" s="2" t="inlineStr">
        <is>
          <t>Beginning Partner's Capital Units CQ</t>
        </is>
      </c>
      <c r="AG2" s="2" t="inlineStr">
        <is>
          <t>Transfer Units In CQ</t>
        </is>
      </c>
      <c r="AH2" s="2" t="inlineStr">
        <is>
          <t>Transfer Units Out CQ</t>
        </is>
      </c>
      <c r="AI2" s="2" t="inlineStr">
        <is>
          <t>Capital Contribution Units CQ</t>
        </is>
      </c>
      <c r="AJ2" s="2" t="inlineStr">
        <is>
          <t>Contr from Div Reinvest Units CQ</t>
        </is>
      </c>
      <c r="AK2" s="2" t="inlineStr">
        <is>
          <t>Capital Redemption Units CQ</t>
        </is>
      </c>
      <c r="AL2" s="2" t="inlineStr">
        <is>
          <t>Ending Partner's Capital Units CQ</t>
        </is>
      </c>
      <c r="AM2" s="2" t="inlineStr">
        <is>
          <t>Beginning Partner's Capital YTD</t>
        </is>
      </c>
      <c r="AN2" s="2" t="inlineStr">
        <is>
          <t>Transfer of Units In YTD</t>
        </is>
      </c>
      <c r="AO2" s="2" t="inlineStr">
        <is>
          <t>Transfer of Units Out YTD</t>
        </is>
      </c>
      <c r="AP2" s="2" t="inlineStr">
        <is>
          <t>Capital Contribution YTD</t>
        </is>
      </c>
      <c r="AQ2" s="2" t="inlineStr">
        <is>
          <t>Contr from Div Reinvest YTD</t>
        </is>
      </c>
      <c r="AR2" s="2" t="inlineStr">
        <is>
          <t>Capital Redemption YTD</t>
        </is>
      </c>
      <c r="AS2" s="2" t="inlineStr">
        <is>
          <t>Investment Income (Loss Before Fees) YTD</t>
        </is>
      </c>
      <c r="AT2" s="2" t="inlineStr">
        <is>
          <t>Fund Level Expense YTD</t>
        </is>
      </c>
      <c r="AU2" s="2" t="inlineStr">
        <is>
          <t>Net Unrealized Gain(Loss) YTD</t>
        </is>
      </c>
      <c r="AV2" s="2" t="inlineStr">
        <is>
          <t>Net Realized Gain (Loss) YTD</t>
        </is>
      </c>
      <c r="AW2" s="2" t="inlineStr">
        <is>
          <t>Partner's Capital Before Dividends YTD</t>
        </is>
      </c>
      <c r="AX2" s="2" t="inlineStr">
        <is>
          <t>Distr Declared to LPs YTD</t>
        </is>
      </c>
      <c r="AY2" s="2" t="inlineStr">
        <is>
          <t>Distr Redirected to Mgr for Fees YTD</t>
        </is>
      </c>
      <c r="AZ2" s="2" t="inlineStr">
        <is>
          <t>Incentive Fee YTD</t>
        </is>
      </c>
      <c r="BA2" s="2" t="inlineStr">
        <is>
          <t>Reduction of Distributions for Investor Specific Taxes YTD</t>
        </is>
      </c>
      <c r="BB2" s="2" t="inlineStr">
        <is>
          <t>Ending Partner's Capital YTD</t>
        </is>
      </c>
      <c r="BC2" s="2" t="inlineStr">
        <is>
          <t>Beginning Partner's Capital Units YTD</t>
        </is>
      </c>
      <c r="BD2" s="2" t="inlineStr">
        <is>
          <t>Transfer Units In YTD</t>
        </is>
      </c>
      <c r="BE2" s="2" t="inlineStr">
        <is>
          <t>Transfer Units Out YTD</t>
        </is>
      </c>
      <c r="BF2" s="2" t="inlineStr">
        <is>
          <t>Capital Contribution Units YTD</t>
        </is>
      </c>
      <c r="BG2" s="2" t="inlineStr">
        <is>
          <t>Contr from Div Reinvest Units YTD</t>
        </is>
      </c>
      <c r="BH2" s="2" t="inlineStr">
        <is>
          <t>Capital Redemption Units YTD</t>
        </is>
      </c>
      <c r="BI2" s="2" t="inlineStr">
        <is>
          <t>Ending Partner's Capital Units YTD</t>
        </is>
      </c>
      <c r="BJ2" s="2" t="inlineStr">
        <is>
          <t>Beginning Partner's Capital ITD</t>
        </is>
      </c>
      <c r="BK2" s="2" t="inlineStr">
        <is>
          <t>Transfer of Units In ITD</t>
        </is>
      </c>
      <c r="BL2" s="2" t="inlineStr">
        <is>
          <t>Transfer of Units Out ITD</t>
        </is>
      </c>
      <c r="BM2" s="2" t="inlineStr">
        <is>
          <t>Capital Contribution ITD</t>
        </is>
      </c>
      <c r="BN2" s="2" t="inlineStr">
        <is>
          <t>Contr from Div Reinvest ITD</t>
        </is>
      </c>
      <c r="BO2" s="2" t="inlineStr">
        <is>
          <t>Capital Redemption ITD</t>
        </is>
      </c>
      <c r="BP2" s="2" t="inlineStr">
        <is>
          <t>Investment Income (Loss Before Fees) ITD</t>
        </is>
      </c>
      <c r="BQ2" s="2" t="inlineStr">
        <is>
          <t>Fund Level Expense ITD</t>
        </is>
      </c>
      <c r="BR2" s="2" t="inlineStr">
        <is>
          <t>Net Unrealized Gain(Loss) ITD</t>
        </is>
      </c>
      <c r="BS2" s="2" t="inlineStr">
        <is>
          <t>Net Realized Gain (Loss) ITD</t>
        </is>
      </c>
      <c r="BT2" s="2" t="inlineStr">
        <is>
          <t>Partner's Capital Before Dividend ITD</t>
        </is>
      </c>
      <c r="BU2" s="2" t="inlineStr">
        <is>
          <t>Distr Declared to LPs ITD</t>
        </is>
      </c>
      <c r="BV2" s="2" t="inlineStr">
        <is>
          <t>Distri Redirected to Mgr for Fee ITD</t>
        </is>
      </c>
      <c r="BW2" s="2" t="inlineStr">
        <is>
          <t>Incentive Fees ITD</t>
        </is>
      </c>
      <c r="BX2" s="2" t="inlineStr">
        <is>
          <t>Reduction of Distributions for Investor Specific Taxes ITD</t>
        </is>
      </c>
      <c r="BY2" s="2" t="inlineStr">
        <is>
          <t>Ending Partner's Capital ITD</t>
        </is>
      </c>
      <c r="BZ2" s="2" t="inlineStr">
        <is>
          <t>Beginning Partner's Capital Units ITD</t>
        </is>
      </c>
      <c r="CA2" s="2" t="inlineStr">
        <is>
          <t>Transfer Units In ITD</t>
        </is>
      </c>
      <c r="CB2" s="2" t="inlineStr">
        <is>
          <t>Transfer Units Out ITD</t>
        </is>
      </c>
      <c r="CC2" s="2" t="inlineStr">
        <is>
          <t>Capital Contribution Units ITD</t>
        </is>
      </c>
      <c r="CD2" s="2" t="inlineStr">
        <is>
          <t>Contr from Div Reinvest Units ITD</t>
        </is>
      </c>
      <c r="CE2" s="2" t="inlineStr">
        <is>
          <t>Capital Redemption Units ITD</t>
        </is>
      </c>
      <c r="CF2" s="2" t="inlineStr">
        <is>
          <t>Ending Partner's Capital Units ITD</t>
        </is>
      </c>
      <c r="CG2" s="2" t="inlineStr">
        <is>
          <t>Total Capital Commitment</t>
        </is>
      </c>
      <c r="CH2" s="2" t="inlineStr">
        <is>
          <t>Funded Capital Commitment</t>
        </is>
      </c>
      <c r="CI2" s="2" t="inlineStr">
        <is>
          <t>Transfer of Commitment</t>
        </is>
      </c>
      <c r="CJ2" s="2" t="inlineStr">
        <is>
          <t>Available Commitment</t>
        </is>
      </c>
      <c r="CK2" s="2" t="inlineStr">
        <is>
          <t>Gross IRR</t>
        </is>
      </c>
      <c r="CL2" s="2" t="inlineStr">
        <is>
          <t>Net IRR</t>
        </is>
      </c>
      <c r="CM2" s="2" t="inlineStr">
        <is>
          <t>Investor Inception Date</t>
        </is>
      </c>
      <c r="CN2" s="2" t="inlineStr">
        <is>
          <t>% of Fund AUM</t>
        </is>
      </c>
      <c r="CO2" s="2" t="inlineStr">
        <is>
          <t>DPI</t>
        </is>
      </c>
      <c r="CP2" s="2" t="inlineStr">
        <is>
          <t>RVPI</t>
        </is>
      </c>
      <c r="CQ2" s="2" t="inlineStr">
        <is>
          <t>TVPI</t>
        </is>
      </c>
      <c r="CR2" s="2" t="inlineStr">
        <is>
          <t>Commitment Funded %</t>
        </is>
      </c>
      <c r="CS2" s="2" t="inlineStr">
        <is>
          <t>Unrealized Gain CQ ($)</t>
        </is>
      </c>
      <c r="CT2" s="2" t="inlineStr">
        <is>
          <t>Realized Gain CQ ($)</t>
        </is>
      </c>
      <c r="CU2" s="2" t="inlineStr">
        <is>
          <t>Total Return CQ ($)</t>
        </is>
      </c>
      <c r="CV2" s="2" t="inlineStr">
        <is>
          <t>Total Return CQ %</t>
        </is>
      </c>
      <c r="CW2" s="2" t="inlineStr">
        <is>
          <t>Unrealized Gain ITD ($)</t>
        </is>
      </c>
      <c r="CX2" s="2" t="inlineStr">
        <is>
          <t>Realized Gain ITD ($)</t>
        </is>
      </c>
      <c r="CY2" s="2" t="inlineStr">
        <is>
          <t>Total Return ITD ($)</t>
        </is>
      </c>
      <c r="CZ2" s="2" t="inlineStr">
        <is>
          <t>Total Return ITD %</t>
        </is>
      </c>
      <c r="DA2" s="2" t="inlineStr">
        <is>
          <t>Mgmt Fee ITD ($)</t>
        </is>
      </c>
      <c r="DB2" s="2" t="inlineStr">
        <is>
          <t>Incentive Fee ITD ($)</t>
        </is>
      </c>
      <c r="DC2" s="2" t="inlineStr">
        <is>
          <t>Total Fees ITD ($)</t>
        </is>
      </c>
      <c r="DD2" s="2" t="inlineStr">
        <is>
          <t>Net Return ITD ($)</t>
        </is>
      </c>
      <c r="DE2" s="2" t="inlineStr">
        <is>
          <t>Incentive Fee Rate</t>
        </is>
      </c>
      <c r="DF2" s="2" t="inlineStr">
        <is>
          <t>Preferred Return</t>
        </is>
      </c>
      <c r="DG2" s="2" t="inlineStr">
        <is>
          <t>Hurdle Exceeded?</t>
        </is>
      </c>
      <c r="DH2" s="2" t="inlineStr">
        <is>
          <t>Lock-up Period (Months)</t>
        </is>
      </c>
      <c r="DI2" s="2" t="inlineStr">
        <is>
          <t>Subscription Date</t>
        </is>
      </c>
      <c r="DJ2" s="2" t="inlineStr">
        <is>
          <t>First Contribution Date</t>
        </is>
      </c>
      <c r="DK2" s="2" t="inlineStr">
        <is>
          <t>Redemption Eligibility Date</t>
        </is>
      </c>
      <c r="DL2" s="2" t="inlineStr">
        <is>
          <t>Lock-up Expired?</t>
        </is>
      </c>
      <c r="DM2" s="2" t="inlineStr">
        <is>
          <t>Redemption Frequency</t>
        </is>
      </c>
      <c r="DN2" s="2" t="inlineStr">
        <is>
          <t>Gate Provision</t>
        </is>
      </c>
      <c r="DO2" s="2" t="inlineStr">
        <is>
          <t>Notice Period (Days)</t>
        </is>
      </c>
      <c r="DP2" s="2" t="inlineStr">
        <is>
          <t>Months Remaining</t>
        </is>
      </c>
      <c r="DQ2" s="2" t="inlineStr">
        <is>
          <t>Side Pocket Eligible?</t>
        </is>
      </c>
      <c r="DR2" s="2" t="inlineStr">
        <is>
          <t>DRIP Enrolled?</t>
        </is>
      </c>
      <c r="DS2" s="2" t="inlineStr">
        <is>
          <t>Distribution Preference</t>
        </is>
      </c>
      <c r="DT2" s="2" t="inlineStr">
        <is>
          <t>High-Water Mark Active?</t>
        </is>
      </c>
      <c r="DU2" s="2" t="inlineStr">
        <is>
          <t>Reporting Currency</t>
        </is>
      </c>
      <c r="DV2" s="2" t="inlineStr">
        <is>
          <t>FATCA Status</t>
        </is>
      </c>
      <c r="DW2" s="2" t="inlineStr">
        <is>
          <t>AML/KYC Status</t>
        </is>
      </c>
      <c r="DX2" s="2" t="inlineStr">
        <is>
          <t>Accredited / Qualified</t>
        </is>
      </c>
      <c r="DY2" s="2" t="inlineStr">
        <is>
          <t>Custodian / Prime Broker</t>
        </is>
      </c>
      <c r="DZ2" s="2" t="inlineStr">
        <is>
          <t>Side Letter Flag</t>
        </is>
      </c>
      <c r="EA2" s="2" t="inlineStr">
        <is>
          <t>Special Terms Notes</t>
        </is>
      </c>
      <c r="EB2" s="2" t="inlineStr">
        <is>
          <t>Mgmt Fee Rate</t>
        </is>
      </c>
      <c r="EC2" s="2" t="inlineStr">
        <is>
          <t>Incentive Fee Rate</t>
        </is>
      </c>
      <c r="ED2" s="2" t="inlineStr">
        <is>
          <t>Preferred Return</t>
        </is>
      </c>
      <c r="EE2" s="2" t="inlineStr">
        <is>
          <t>Hurdle Type</t>
        </is>
      </c>
      <c r="EF2" s="2" t="inlineStr">
        <is>
          <t>Catch-Up %</t>
        </is>
      </c>
      <c r="EG2" s="2" t="inlineStr">
        <is>
          <t>Hurdle Amount ITD ($)</t>
        </is>
      </c>
      <c r="EH2" s="2" t="inlineStr">
        <is>
          <t>Total Return ITD ($)</t>
        </is>
      </c>
      <c r="EI2" s="2" t="inlineStr">
        <is>
          <t>Excess Over Hurdle ($)</t>
        </is>
      </c>
      <c r="EJ2" s="2" t="inlineStr">
        <is>
          <t>GP Catch-Up Amount ($)</t>
        </is>
      </c>
      <c r="EK2" s="2" t="inlineStr">
        <is>
          <t>LP Net Waterfall Share ($)</t>
        </is>
      </c>
      <c r="EL2" s="2" t="inlineStr">
        <is>
          <t>Waterfall Tier</t>
        </is>
      </c>
    </row>
    <row r="3">
      <c r="A3" s="3" t="inlineStr">
        <is>
          <t>Meridian Partners LP</t>
        </is>
      </c>
      <c r="B3" s="4" t="n">
        <v>1000</v>
      </c>
      <c r="C3" s="4" t="n">
        <v>0</v>
      </c>
      <c r="D3" s="4" t="n">
        <v>0</v>
      </c>
      <c r="E3" s="4" t="n">
        <v>1000</v>
      </c>
      <c r="F3" s="4" t="n">
        <v>42.6</v>
      </c>
      <c r="G3" s="4" t="n">
        <v>-2.5</v>
      </c>
      <c r="H3" s="4" t="n">
        <v>26.065</v>
      </c>
      <c r="I3" s="4" t="n">
        <v>8.02</v>
      </c>
      <c r="J3" s="4" t="n">
        <v>1074.185</v>
      </c>
      <c r="K3" s="4" t="n">
        <v>0</v>
      </c>
      <c r="L3" s="4" t="n">
        <v>0</v>
      </c>
      <c r="M3" s="4" t="n">
        <v>-34.095</v>
      </c>
      <c r="N3" s="4" t="n">
        <v>0</v>
      </c>
      <c r="O3" s="4" t="n">
        <v>1040.1</v>
      </c>
      <c r="P3" s="4" t="n">
        <v>4856320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206879.23</v>
      </c>
      <c r="W3" s="4" t="n">
        <v>-12140.8</v>
      </c>
      <c r="X3" s="4" t="n">
        <v>126579.98</v>
      </c>
      <c r="Y3" s="4" t="n">
        <v>38947.69</v>
      </c>
      <c r="Z3" s="4" t="n">
        <v>5216586.1</v>
      </c>
      <c r="AA3" s="4" t="n">
        <v>0</v>
      </c>
      <c r="AB3" s="4" t="n">
        <v>0</v>
      </c>
      <c r="AC3" s="4" t="n">
        <v>-165576.23</v>
      </c>
      <c r="AD3" s="4" t="n">
        <v>0</v>
      </c>
      <c r="AE3" s="4" t="n">
        <v>5382162.33</v>
      </c>
      <c r="AF3" s="4" t="n">
        <v>4856.32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4856.32</v>
      </c>
      <c r="AM3" s="4" t="n">
        <v>4856320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206879.23</v>
      </c>
      <c r="AT3" s="4" t="n">
        <v>-12140.8</v>
      </c>
      <c r="AU3" s="4" t="n">
        <v>126579.98</v>
      </c>
      <c r="AV3" s="4" t="n">
        <v>38947.69</v>
      </c>
      <c r="AW3" s="4" t="n">
        <v>5216586.1</v>
      </c>
      <c r="AX3" s="4" t="n">
        <v>0</v>
      </c>
      <c r="AY3" s="4" t="n">
        <v>0</v>
      </c>
      <c r="AZ3" s="4" t="n">
        <v>-165576.23</v>
      </c>
      <c r="BA3" s="4" t="n">
        <v>0</v>
      </c>
      <c r="BB3" s="4" t="n">
        <v>5382162.33</v>
      </c>
      <c r="BC3" s="4" t="n">
        <v>4856.32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4856.32</v>
      </c>
      <c r="BJ3" s="4" t="n">
        <v>0</v>
      </c>
      <c r="BK3" s="4" t="n">
        <v>0</v>
      </c>
      <c r="BL3" s="4" t="n">
        <v>0</v>
      </c>
      <c r="BM3" s="4" t="n">
        <v>4856320</v>
      </c>
      <c r="BN3" s="4" t="n">
        <v>43706.88</v>
      </c>
      <c r="BO3" s="4" t="n">
        <v>0</v>
      </c>
      <c r="BP3" s="4" t="n">
        <v>427356.16</v>
      </c>
      <c r="BQ3" s="4" t="n">
        <v>-52448.26</v>
      </c>
      <c r="BR3" s="4" t="n">
        <v>437068.8</v>
      </c>
      <c r="BS3" s="4" t="n">
        <v>184540.16</v>
      </c>
      <c r="BT3" s="4" t="n">
        <v>5896543.74</v>
      </c>
      <c r="BU3" s="4" t="n">
        <v>582758.4</v>
      </c>
      <c r="BV3" s="4" t="n">
        <v>0</v>
      </c>
      <c r="BW3" s="4" t="n">
        <v>339942.4</v>
      </c>
      <c r="BX3" s="4" t="n">
        <v>0</v>
      </c>
      <c r="BY3" s="4" t="n">
        <v>5382162.33</v>
      </c>
      <c r="BZ3" s="4" t="n">
        <v>0</v>
      </c>
      <c r="CA3" s="4" t="n">
        <v>0</v>
      </c>
      <c r="CB3" s="4" t="n">
        <v>0</v>
      </c>
      <c r="CC3" s="4" t="n">
        <v>4856.32</v>
      </c>
      <c r="CD3" s="4" t="n">
        <v>0</v>
      </c>
      <c r="CE3" s="4" t="n">
        <v>0</v>
      </c>
      <c r="CF3" s="4" t="n">
        <v>4856.32</v>
      </c>
      <c r="CG3" s="4" t="n">
        <v>5000000</v>
      </c>
      <c r="CH3" s="4" t="n">
        <v>4856320</v>
      </c>
      <c r="CI3" s="4" t="n">
        <v>0</v>
      </c>
      <c r="CJ3" s="4" t="n">
        <v>143680</v>
      </c>
      <c r="CK3" s="4" t="n">
        <v>18.52</v>
      </c>
      <c r="CL3" s="4" t="n">
        <v>15.18</v>
      </c>
      <c r="CM3" s="3" t="inlineStr">
        <is>
          <t>15-Jan-2022</t>
        </is>
      </c>
      <c r="CN3" s="4" t="n">
        <v>18.25</v>
      </c>
      <c r="CO3" s="4" t="n">
        <v>0.12</v>
      </c>
      <c r="CP3" s="4" t="n">
        <v>1.04</v>
      </c>
      <c r="CQ3" s="4" t="n">
        <v>1.16</v>
      </c>
      <c r="CR3" s="4" t="n">
        <v>97.13</v>
      </c>
      <c r="CS3" s="4" t="n">
        <v>126579.98</v>
      </c>
      <c r="CT3" s="4" t="n">
        <v>38947.69</v>
      </c>
      <c r="CU3" s="4" t="n">
        <v>360266.1</v>
      </c>
      <c r="CV3" s="4" t="n">
        <v>10.83</v>
      </c>
      <c r="CW3" s="4" t="n">
        <v>437068.8</v>
      </c>
      <c r="CX3" s="4" t="n">
        <v>184540.16</v>
      </c>
      <c r="CY3" s="4" t="n">
        <v>996516.86</v>
      </c>
      <c r="CZ3" s="4" t="n">
        <v>16</v>
      </c>
      <c r="DA3" s="4" t="n">
        <v>155402.24</v>
      </c>
      <c r="DB3" s="4" t="n">
        <v>339942.4</v>
      </c>
      <c r="DC3" s="4" t="n">
        <v>495344.64</v>
      </c>
      <c r="DD3" s="4" t="n">
        <v>501172.22</v>
      </c>
      <c r="DE3" s="4" t="n">
        <v>20</v>
      </c>
      <c r="DF3" s="4" t="n">
        <v>8</v>
      </c>
      <c r="DG3" s="3" t="inlineStr">
        <is>
          <t>Yes</t>
        </is>
      </c>
      <c r="DH3" s="4" t="n">
        <v>24</v>
      </c>
      <c r="DI3" s="3" t="inlineStr">
        <is>
          <t>01-Jan-2022</t>
        </is>
      </c>
      <c r="DJ3" s="3" t="inlineStr">
        <is>
          <t>15-Jan-2022</t>
        </is>
      </c>
      <c r="DK3" s="3" t="inlineStr">
        <is>
          <t>15-Jan-2024</t>
        </is>
      </c>
      <c r="DL3" s="3" t="inlineStr">
        <is>
          <t>Yes</t>
        </is>
      </c>
      <c r="DM3" s="3" t="inlineStr">
        <is>
          <t>Quarterly</t>
        </is>
      </c>
      <c r="DN3" s="3" t="inlineStr">
        <is>
          <t>25% of NAV</t>
        </is>
      </c>
      <c r="DO3" s="4" t="n">
        <v>60</v>
      </c>
      <c r="DP3" s="4" t="n">
        <v>0</v>
      </c>
      <c r="DQ3" s="3" t="inlineStr">
        <is>
          <t>No</t>
        </is>
      </c>
      <c r="DR3" s="3" t="inlineStr">
        <is>
          <t>Yes</t>
        </is>
      </c>
      <c r="DS3" s="3" t="inlineStr">
        <is>
          <t>Standard</t>
        </is>
      </c>
      <c r="DT3" s="3" t="inlineStr">
        <is>
          <t>Yes</t>
        </is>
      </c>
      <c r="DU3" s="3" t="inlineStr">
        <is>
          <t>USD</t>
        </is>
      </c>
      <c r="DV3" s="3" t="inlineStr">
        <is>
          <t>Compliant</t>
        </is>
      </c>
      <c r="DW3" s="3" t="inlineStr">
        <is>
          <t>Verified</t>
        </is>
      </c>
      <c r="DX3" s="3" t="inlineStr">
        <is>
          <t>Qualified Institutional Buyer</t>
        </is>
      </c>
      <c r="DY3" s="3" t="inlineStr">
        <is>
          <t>Goldman Sachs Prime</t>
        </is>
      </c>
      <c r="DZ3" s="3" t="inlineStr">
        <is>
          <t>No</t>
        </is>
      </c>
      <c r="EA3" s="3" t="inlineStr"/>
      <c r="EB3" s="4" t="n">
        <v>2</v>
      </c>
      <c r="EC3" s="4" t="n">
        <v>20</v>
      </c>
      <c r="ED3" s="4" t="n">
        <v>8</v>
      </c>
      <c r="EE3" s="3" t="inlineStr">
        <is>
          <t>Soft Hurdle</t>
        </is>
      </c>
      <c r="EF3" s="4" t="n">
        <v>100</v>
      </c>
      <c r="EG3" s="4" t="n">
        <v>1554022.4</v>
      </c>
      <c r="EH3" s="4" t="n">
        <v>996516.86</v>
      </c>
      <c r="EI3" s="4" t="n">
        <v>0</v>
      </c>
      <c r="EJ3" s="4" t="n">
        <v>0</v>
      </c>
      <c r="EK3" s="4" t="n">
        <v>5382162.33</v>
      </c>
      <c r="EL3" s="3" t="inlineStr">
        <is>
          <t>Tier 2</t>
        </is>
      </c>
    </row>
    <row r="4">
      <c r="A4" s="5" t="inlineStr">
        <is>
          <t>Apex Capital Management LLC</t>
        </is>
      </c>
      <c r="B4" s="6" t="n">
        <v>1000</v>
      </c>
      <c r="C4" s="6" t="n">
        <v>0</v>
      </c>
      <c r="D4" s="6" t="n">
        <v>0</v>
      </c>
      <c r="E4" s="6" t="n">
        <v>1000</v>
      </c>
      <c r="F4" s="6" t="n">
        <v>44.8</v>
      </c>
      <c r="G4" s="6" t="n">
        <v>-2.5</v>
      </c>
      <c r="H4" s="6" t="n">
        <v>27.495</v>
      </c>
      <c r="I4" s="6" t="n">
        <v>8.460000000000001</v>
      </c>
      <c r="J4" s="6" t="n">
        <v>1078.255</v>
      </c>
      <c r="K4" s="6" t="n">
        <v>0</v>
      </c>
      <c r="L4" s="6" t="n">
        <v>0</v>
      </c>
      <c r="M4" s="6" t="n">
        <v>-35.965</v>
      </c>
      <c r="N4" s="6" t="n">
        <v>0</v>
      </c>
      <c r="O4" s="6" t="n">
        <v>1042.3</v>
      </c>
      <c r="P4" s="6" t="n">
        <v>3121400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139838.72</v>
      </c>
      <c r="W4" s="6" t="n">
        <v>-7803.5</v>
      </c>
      <c r="X4" s="6" t="n">
        <v>85822.89</v>
      </c>
      <c r="Y4" s="6" t="n">
        <v>26407.04</v>
      </c>
      <c r="Z4" s="6" t="n">
        <v>3365665.15</v>
      </c>
      <c r="AA4" s="6" t="n">
        <v>0</v>
      </c>
      <c r="AB4" s="6" t="n">
        <v>0</v>
      </c>
      <c r="AC4" s="6" t="n">
        <v>-112261.15</v>
      </c>
      <c r="AD4" s="6" t="n">
        <v>0</v>
      </c>
      <c r="AE4" s="6" t="n">
        <v>3477926.3</v>
      </c>
      <c r="AF4" s="6" t="n">
        <v>3121.4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3121.4</v>
      </c>
      <c r="AM4" s="6" t="n">
        <v>3121400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139838.72</v>
      </c>
      <c r="AT4" s="6" t="n">
        <v>-7803.5</v>
      </c>
      <c r="AU4" s="6" t="n">
        <v>85822.89</v>
      </c>
      <c r="AV4" s="6" t="n">
        <v>26407.04</v>
      </c>
      <c r="AW4" s="6" t="n">
        <v>3365665.15</v>
      </c>
      <c r="AX4" s="6" t="n">
        <v>0</v>
      </c>
      <c r="AY4" s="6" t="n">
        <v>0</v>
      </c>
      <c r="AZ4" s="6" t="n">
        <v>-112261.15</v>
      </c>
      <c r="BA4" s="6" t="n">
        <v>0</v>
      </c>
      <c r="BB4" s="6" t="n">
        <v>3477926.3</v>
      </c>
      <c r="BC4" s="6" t="n">
        <v>3121.4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3121.4</v>
      </c>
      <c r="BJ4" s="6" t="n">
        <v>0</v>
      </c>
      <c r="BK4" s="6" t="n">
        <v>0</v>
      </c>
      <c r="BL4" s="6" t="n">
        <v>0</v>
      </c>
      <c r="BM4" s="6" t="n">
        <v>3121400</v>
      </c>
      <c r="BN4" s="6" t="n">
        <v>28092.6</v>
      </c>
      <c r="BO4" s="6" t="n">
        <v>0</v>
      </c>
      <c r="BP4" s="6" t="n">
        <v>274683.2</v>
      </c>
      <c r="BQ4" s="6" t="n">
        <v>-33711.12</v>
      </c>
      <c r="BR4" s="6" t="n">
        <v>280926</v>
      </c>
      <c r="BS4" s="6" t="n">
        <v>118613.2</v>
      </c>
      <c r="BT4" s="6" t="n">
        <v>3790003.88</v>
      </c>
      <c r="BU4" s="6" t="n">
        <v>374568</v>
      </c>
      <c r="BV4" s="6" t="n">
        <v>0</v>
      </c>
      <c r="BW4" s="6" t="n">
        <v>218498</v>
      </c>
      <c r="BX4" s="6" t="n">
        <v>0</v>
      </c>
      <c r="BY4" s="6" t="n">
        <v>3477926.3</v>
      </c>
      <c r="BZ4" s="6" t="n">
        <v>0</v>
      </c>
      <c r="CA4" s="6" t="n">
        <v>0</v>
      </c>
      <c r="CB4" s="6" t="n">
        <v>0</v>
      </c>
      <c r="CC4" s="6" t="n">
        <v>3121.4</v>
      </c>
      <c r="CD4" s="6" t="n">
        <v>0</v>
      </c>
      <c r="CE4" s="6" t="n">
        <v>0</v>
      </c>
      <c r="CF4" s="6" t="n">
        <v>3121.4</v>
      </c>
      <c r="CG4" s="6" t="n">
        <v>3500000</v>
      </c>
      <c r="CH4" s="6" t="n">
        <v>3121400</v>
      </c>
      <c r="CI4" s="6" t="n">
        <v>0</v>
      </c>
      <c r="CJ4" s="6" t="n">
        <v>378600</v>
      </c>
      <c r="CK4" s="6" t="n">
        <v>14.25</v>
      </c>
      <c r="CL4" s="6" t="n">
        <v>11.8</v>
      </c>
      <c r="CM4" s="5" t="inlineStr">
        <is>
          <t>01-Jul-2021</t>
        </is>
      </c>
      <c r="CN4" s="6" t="n">
        <v>11.72</v>
      </c>
      <c r="CO4" s="6" t="n">
        <v>0.1</v>
      </c>
      <c r="CP4" s="6" t="n">
        <v>1.01</v>
      </c>
      <c r="CQ4" s="6" t="n">
        <v>1.11</v>
      </c>
      <c r="CR4" s="6" t="n">
        <v>89.18000000000001</v>
      </c>
      <c r="CS4" s="6" t="n">
        <v>85822.89</v>
      </c>
      <c r="CT4" s="6" t="n">
        <v>26407.04</v>
      </c>
      <c r="CU4" s="6" t="n">
        <v>244265.15</v>
      </c>
      <c r="CV4" s="6" t="n">
        <v>11.42</v>
      </c>
      <c r="CW4" s="6" t="n">
        <v>280926</v>
      </c>
      <c r="CX4" s="6" t="n">
        <v>118613.2</v>
      </c>
      <c r="CY4" s="6" t="n">
        <v>640511.28</v>
      </c>
      <c r="CZ4" s="6" t="n">
        <v>11</v>
      </c>
      <c r="DA4" s="6" t="n">
        <v>99884.8</v>
      </c>
      <c r="DB4" s="6" t="n">
        <v>218498</v>
      </c>
      <c r="DC4" s="6" t="n">
        <v>318382.8</v>
      </c>
      <c r="DD4" s="6" t="n">
        <v>322128.48</v>
      </c>
      <c r="DE4" s="6" t="n">
        <v>20</v>
      </c>
      <c r="DF4" s="6" t="n">
        <v>8</v>
      </c>
      <c r="DG4" s="5" t="inlineStr">
        <is>
          <t>Yes</t>
        </is>
      </c>
      <c r="DH4" s="6" t="n">
        <v>12</v>
      </c>
      <c r="DI4" s="5" t="inlineStr">
        <is>
          <t>01-Jul-2021</t>
        </is>
      </c>
      <c r="DJ4" s="5" t="inlineStr">
        <is>
          <t>01-Jul-2021</t>
        </is>
      </c>
      <c r="DK4" s="5" t="inlineStr">
        <is>
          <t>01-Jul-2022</t>
        </is>
      </c>
      <c r="DL4" s="5" t="inlineStr">
        <is>
          <t>Yes</t>
        </is>
      </c>
      <c r="DM4" s="5" t="inlineStr">
        <is>
          <t>Quarterly</t>
        </is>
      </c>
      <c r="DN4" s="5" t="inlineStr">
        <is>
          <t>25% of NAV</t>
        </is>
      </c>
      <c r="DO4" s="6" t="n">
        <v>60</v>
      </c>
      <c r="DP4" s="6" t="n">
        <v>0</v>
      </c>
      <c r="DQ4" s="5" t="inlineStr">
        <is>
          <t>No</t>
        </is>
      </c>
      <c r="DR4" s="5" t="inlineStr">
        <is>
          <t>Yes</t>
        </is>
      </c>
      <c r="DS4" s="5" t="inlineStr">
        <is>
          <t>Standard</t>
        </is>
      </c>
      <c r="DT4" s="5" t="inlineStr">
        <is>
          <t>Yes</t>
        </is>
      </c>
      <c r="DU4" s="5" t="inlineStr">
        <is>
          <t>USD</t>
        </is>
      </c>
      <c r="DV4" s="5" t="inlineStr">
        <is>
          <t>Compliant</t>
        </is>
      </c>
      <c r="DW4" s="5" t="inlineStr">
        <is>
          <t>Verified</t>
        </is>
      </c>
      <c r="DX4" s="5" t="inlineStr">
        <is>
          <t>Qualified Institutional Buyer</t>
        </is>
      </c>
      <c r="DY4" s="5" t="inlineStr">
        <is>
          <t>JPMorgan Prime</t>
        </is>
      </c>
      <c r="DZ4" s="5" t="inlineStr">
        <is>
          <t>No</t>
        </is>
      </c>
      <c r="EA4" s="5" t="inlineStr"/>
      <c r="EB4" s="6" t="n">
        <v>2</v>
      </c>
      <c r="EC4" s="6" t="n">
        <v>20</v>
      </c>
      <c r="ED4" s="6" t="n">
        <v>8</v>
      </c>
      <c r="EE4" s="5" t="inlineStr">
        <is>
          <t>Soft Hurdle</t>
        </is>
      </c>
      <c r="EF4" s="6" t="n">
        <v>100</v>
      </c>
      <c r="EG4" s="6" t="n">
        <v>998848</v>
      </c>
      <c r="EH4" s="6" t="n">
        <v>640511.28</v>
      </c>
      <c r="EI4" s="6" t="n">
        <v>0</v>
      </c>
      <c r="EJ4" s="6" t="n">
        <v>0</v>
      </c>
      <c r="EK4" s="6" t="n">
        <v>3477926.3</v>
      </c>
      <c r="EL4" s="5" t="inlineStr">
        <is>
          <t>Tier 2</t>
        </is>
      </c>
    </row>
    <row r="5">
      <c r="A5" s="3" t="inlineStr">
        <is>
          <t>Blue Ridge Endowment Fund</t>
        </is>
      </c>
      <c r="B5" s="4" t="n">
        <v>1000</v>
      </c>
      <c r="C5" s="4" t="n">
        <v>0</v>
      </c>
      <c r="D5" s="4" t="n">
        <v>0</v>
      </c>
      <c r="E5" s="4" t="n">
        <v>1000</v>
      </c>
      <c r="F5" s="4" t="n">
        <v>41.4</v>
      </c>
      <c r="G5" s="4" t="n">
        <v>-2.5</v>
      </c>
      <c r="H5" s="4" t="n">
        <v>25.285</v>
      </c>
      <c r="I5" s="4" t="n">
        <v>7.78</v>
      </c>
      <c r="J5" s="4" t="n">
        <v>1071.965</v>
      </c>
      <c r="K5" s="4" t="n">
        <v>0</v>
      </c>
      <c r="L5" s="4" t="n">
        <v>0</v>
      </c>
      <c r="M5" s="4" t="n">
        <v>-33.075</v>
      </c>
      <c r="N5" s="4" t="n">
        <v>0</v>
      </c>
      <c r="O5" s="4" t="n">
        <v>1038.9</v>
      </c>
      <c r="P5" s="4" t="n">
        <v>8432100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349088.94</v>
      </c>
      <c r="W5" s="4" t="n">
        <v>-21080.25</v>
      </c>
      <c r="X5" s="4" t="n">
        <v>213205.65</v>
      </c>
      <c r="Y5" s="4" t="n">
        <v>65601.74000000001</v>
      </c>
      <c r="Z5" s="4" t="n">
        <v>9038916.08</v>
      </c>
      <c r="AA5" s="4" t="n">
        <v>0</v>
      </c>
      <c r="AB5" s="4" t="n">
        <v>0</v>
      </c>
      <c r="AC5" s="4" t="n">
        <v>-278891.71</v>
      </c>
      <c r="AD5" s="4" t="n">
        <v>0</v>
      </c>
      <c r="AE5" s="4" t="n">
        <v>9317807.789999999</v>
      </c>
      <c r="AF5" s="4" t="n">
        <v>8432.1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8432.1</v>
      </c>
      <c r="AM5" s="4" t="n">
        <v>8432100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349088.94</v>
      </c>
      <c r="AT5" s="4" t="n">
        <v>-21080.25</v>
      </c>
      <c r="AU5" s="4" t="n">
        <v>213205.65</v>
      </c>
      <c r="AV5" s="4" t="n">
        <v>65601.74000000001</v>
      </c>
      <c r="AW5" s="4" t="n">
        <v>9038916.08</v>
      </c>
      <c r="AX5" s="4" t="n">
        <v>0</v>
      </c>
      <c r="AY5" s="4" t="n">
        <v>0</v>
      </c>
      <c r="AZ5" s="4" t="n">
        <v>-278891.71</v>
      </c>
      <c r="BA5" s="4" t="n">
        <v>0</v>
      </c>
      <c r="BB5" s="4" t="n">
        <v>9317807.789999999</v>
      </c>
      <c r="BC5" s="4" t="n">
        <v>8432.1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8432.1</v>
      </c>
      <c r="BJ5" s="4" t="n">
        <v>0</v>
      </c>
      <c r="BK5" s="4" t="n">
        <v>0</v>
      </c>
      <c r="BL5" s="4" t="n">
        <v>0</v>
      </c>
      <c r="BM5" s="4" t="n">
        <v>8432100</v>
      </c>
      <c r="BN5" s="4" t="n">
        <v>75888.89999999999</v>
      </c>
      <c r="BO5" s="4" t="n">
        <v>0</v>
      </c>
      <c r="BP5" s="4" t="n">
        <v>742024.8</v>
      </c>
      <c r="BQ5" s="4" t="n">
        <v>-91066.67999999999</v>
      </c>
      <c r="BR5" s="4" t="n">
        <v>758889</v>
      </c>
      <c r="BS5" s="4" t="n">
        <v>320419.8</v>
      </c>
      <c r="BT5" s="4" t="n">
        <v>10238255.82</v>
      </c>
      <c r="BU5" s="4" t="n">
        <v>1011852</v>
      </c>
      <c r="BV5" s="4" t="n">
        <v>0</v>
      </c>
      <c r="BW5" s="4" t="n">
        <v>590247</v>
      </c>
      <c r="BX5" s="4" t="n">
        <v>0</v>
      </c>
      <c r="BY5" s="4" t="n">
        <v>9317807.789999999</v>
      </c>
      <c r="BZ5" s="4" t="n">
        <v>0</v>
      </c>
      <c r="CA5" s="4" t="n">
        <v>0</v>
      </c>
      <c r="CB5" s="4" t="n">
        <v>0</v>
      </c>
      <c r="CC5" s="4" t="n">
        <v>8432.1</v>
      </c>
      <c r="CD5" s="4" t="n">
        <v>0</v>
      </c>
      <c r="CE5" s="4" t="n">
        <v>0</v>
      </c>
      <c r="CF5" s="4" t="n">
        <v>8432.1</v>
      </c>
      <c r="CG5" s="4" t="n">
        <v>10000000</v>
      </c>
      <c r="CH5" s="4" t="n">
        <v>8432100</v>
      </c>
      <c r="CI5" s="4" t="n">
        <v>0</v>
      </c>
      <c r="CJ5" s="4" t="n">
        <v>1567900</v>
      </c>
      <c r="CK5" s="4" t="n">
        <v>16.85</v>
      </c>
      <c r="CL5" s="4" t="n">
        <v>13.92</v>
      </c>
      <c r="CM5" s="3" t="inlineStr">
        <is>
          <t>01-Oct-2020</t>
        </is>
      </c>
      <c r="CN5" s="4" t="n">
        <v>31.67</v>
      </c>
      <c r="CO5" s="4" t="n">
        <v>0.14</v>
      </c>
      <c r="CP5" s="4" t="n">
        <v>1.04</v>
      </c>
      <c r="CQ5" s="4" t="n">
        <v>1.18</v>
      </c>
      <c r="CR5" s="4" t="n">
        <v>84.31999999999999</v>
      </c>
      <c r="CS5" s="4" t="n">
        <v>213205.65</v>
      </c>
      <c r="CT5" s="4" t="n">
        <v>65601.74000000001</v>
      </c>
      <c r="CU5" s="4" t="n">
        <v>606816.08</v>
      </c>
      <c r="CV5" s="4" t="n">
        <v>10.5</v>
      </c>
      <c r="CW5" s="4" t="n">
        <v>758889</v>
      </c>
      <c r="CX5" s="4" t="n">
        <v>320419.8</v>
      </c>
      <c r="CY5" s="4" t="n">
        <v>1730266.92</v>
      </c>
      <c r="CZ5" s="4" t="n">
        <v>18</v>
      </c>
      <c r="DA5" s="4" t="n">
        <v>269827.2</v>
      </c>
      <c r="DB5" s="4" t="n">
        <v>590247</v>
      </c>
      <c r="DC5" s="4" t="n">
        <v>860074.2</v>
      </c>
      <c r="DD5" s="4" t="n">
        <v>870192.72</v>
      </c>
      <c r="DE5" s="4" t="n">
        <v>20</v>
      </c>
      <c r="DF5" s="4" t="n">
        <v>8</v>
      </c>
      <c r="DG5" s="3" t="inlineStr">
        <is>
          <t>Yes</t>
        </is>
      </c>
      <c r="DH5" s="4" t="n">
        <v>36</v>
      </c>
      <c r="DI5" s="3" t="inlineStr">
        <is>
          <t>01-Oct-2020</t>
        </is>
      </c>
      <c r="DJ5" s="3" t="inlineStr">
        <is>
          <t>01-Oct-2020</t>
        </is>
      </c>
      <c r="DK5" s="3" t="inlineStr">
        <is>
          <t>01-Oct-2023</t>
        </is>
      </c>
      <c r="DL5" s="3" t="inlineStr">
        <is>
          <t>Yes</t>
        </is>
      </c>
      <c r="DM5" s="3" t="inlineStr">
        <is>
          <t>Quarterly</t>
        </is>
      </c>
      <c r="DN5" s="3" t="inlineStr">
        <is>
          <t>25% of NAV</t>
        </is>
      </c>
      <c r="DO5" s="4" t="n">
        <v>60</v>
      </c>
      <c r="DP5" s="4" t="n">
        <v>0</v>
      </c>
      <c r="DQ5" s="3" t="inlineStr">
        <is>
          <t>No</t>
        </is>
      </c>
      <c r="DR5" s="3" t="inlineStr">
        <is>
          <t>Yes</t>
        </is>
      </c>
      <c r="DS5" s="3" t="inlineStr">
        <is>
          <t>Standard</t>
        </is>
      </c>
      <c r="DT5" s="3" t="inlineStr">
        <is>
          <t>Yes</t>
        </is>
      </c>
      <c r="DU5" s="3" t="inlineStr">
        <is>
          <t>USD</t>
        </is>
      </c>
      <c r="DV5" s="3" t="inlineStr">
        <is>
          <t>Exempt</t>
        </is>
      </c>
      <c r="DW5" s="3" t="inlineStr">
        <is>
          <t>Verified</t>
        </is>
      </c>
      <c r="DX5" s="3" t="inlineStr">
        <is>
          <t>Qualified Institutional Buyer</t>
        </is>
      </c>
      <c r="DY5" s="3" t="inlineStr">
        <is>
          <t>Morgan Stanley Wealth</t>
        </is>
      </c>
      <c r="DZ5" s="3" t="inlineStr">
        <is>
          <t>No</t>
        </is>
      </c>
      <c r="EA5" s="3" t="inlineStr"/>
      <c r="EB5" s="4" t="n">
        <v>2</v>
      </c>
      <c r="EC5" s="4" t="n">
        <v>20</v>
      </c>
      <c r="ED5" s="4" t="n">
        <v>8</v>
      </c>
      <c r="EE5" s="3" t="inlineStr">
        <is>
          <t>Soft Hurdle</t>
        </is>
      </c>
      <c r="EF5" s="4" t="n">
        <v>100</v>
      </c>
      <c r="EG5" s="4" t="n">
        <v>2698272</v>
      </c>
      <c r="EH5" s="4" t="n">
        <v>1730266.92</v>
      </c>
      <c r="EI5" s="4" t="n">
        <v>0</v>
      </c>
      <c r="EJ5" s="4" t="n">
        <v>0</v>
      </c>
      <c r="EK5" s="4" t="n">
        <v>9317807.789999999</v>
      </c>
      <c r="EL5" s="3" t="inlineStr">
        <is>
          <t>Tier 2</t>
        </is>
      </c>
    </row>
    <row r="6">
      <c r="A6" s="5" t="inlineStr">
        <is>
          <t>Silverstone Trust</t>
        </is>
      </c>
      <c r="B6" s="6" t="n">
        <v>1000</v>
      </c>
      <c r="C6" s="6" t="n">
        <v>0</v>
      </c>
      <c r="D6" s="6" t="n">
        <v>0</v>
      </c>
      <c r="E6" s="6" t="n">
        <v>1000</v>
      </c>
      <c r="F6" s="6" t="n">
        <v>39.2</v>
      </c>
      <c r="G6" s="6" t="n">
        <v>-2.5</v>
      </c>
      <c r="H6" s="6" t="n">
        <v>23.855</v>
      </c>
      <c r="I6" s="6" t="n">
        <v>7.34</v>
      </c>
      <c r="J6" s="6" t="n">
        <v>1067.895</v>
      </c>
      <c r="K6" s="6" t="n">
        <v>0</v>
      </c>
      <c r="L6" s="6" t="n">
        <v>0</v>
      </c>
      <c r="M6" s="6" t="n">
        <v>-31.205</v>
      </c>
      <c r="N6" s="6" t="n">
        <v>0</v>
      </c>
      <c r="O6" s="6" t="n">
        <v>1036.7</v>
      </c>
      <c r="P6" s="6" t="n">
        <v>1952600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76541.92</v>
      </c>
      <c r="W6" s="6" t="n">
        <v>-4881.5</v>
      </c>
      <c r="X6" s="6" t="n">
        <v>46579.27</v>
      </c>
      <c r="Y6" s="6" t="n">
        <v>14332.08</v>
      </c>
      <c r="Z6" s="6" t="n">
        <v>2085171.77</v>
      </c>
      <c r="AA6" s="6" t="n">
        <v>0</v>
      </c>
      <c r="AB6" s="6" t="n">
        <v>0</v>
      </c>
      <c r="AC6" s="6" t="n">
        <v>-60930.88</v>
      </c>
      <c r="AD6" s="6" t="n">
        <v>0</v>
      </c>
      <c r="AE6" s="6" t="n">
        <v>2146102.65</v>
      </c>
      <c r="AF6" s="6" t="n">
        <v>1952.6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1952.6</v>
      </c>
      <c r="AM6" s="6" t="n">
        <v>1952600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76541.92</v>
      </c>
      <c r="AT6" s="6" t="n">
        <v>-4881.5</v>
      </c>
      <c r="AU6" s="6" t="n">
        <v>46579.27</v>
      </c>
      <c r="AV6" s="6" t="n">
        <v>14332.08</v>
      </c>
      <c r="AW6" s="6" t="n">
        <v>2085171.77</v>
      </c>
      <c r="AX6" s="6" t="n">
        <v>0</v>
      </c>
      <c r="AY6" s="6" t="n">
        <v>0</v>
      </c>
      <c r="AZ6" s="6" t="n">
        <v>-60930.88</v>
      </c>
      <c r="BA6" s="6" t="n">
        <v>0</v>
      </c>
      <c r="BB6" s="6" t="n">
        <v>2146102.65</v>
      </c>
      <c r="BC6" s="6" t="n">
        <v>1952.6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1952.6</v>
      </c>
      <c r="BJ6" s="6" t="n">
        <v>0</v>
      </c>
      <c r="BK6" s="6" t="n">
        <v>0</v>
      </c>
      <c r="BL6" s="6" t="n">
        <v>0</v>
      </c>
      <c r="BM6" s="6" t="n">
        <v>1952600</v>
      </c>
      <c r="BN6" s="6" t="n">
        <v>17573.4</v>
      </c>
      <c r="BO6" s="6" t="n">
        <v>0</v>
      </c>
      <c r="BP6" s="6" t="n">
        <v>171828.8</v>
      </c>
      <c r="BQ6" s="6" t="n">
        <v>-21088.08</v>
      </c>
      <c r="BR6" s="6" t="n">
        <v>175734</v>
      </c>
      <c r="BS6" s="6" t="n">
        <v>74198.8</v>
      </c>
      <c r="BT6" s="6" t="n">
        <v>2370846.92</v>
      </c>
      <c r="BU6" s="6" t="n">
        <v>234312</v>
      </c>
      <c r="BV6" s="6" t="n">
        <v>0</v>
      </c>
      <c r="BW6" s="6" t="n">
        <v>136682</v>
      </c>
      <c r="BX6" s="6" t="n">
        <v>0</v>
      </c>
      <c r="BY6" s="6" t="n">
        <v>2146102.65</v>
      </c>
      <c r="BZ6" s="6" t="n">
        <v>0</v>
      </c>
      <c r="CA6" s="6" t="n">
        <v>0</v>
      </c>
      <c r="CB6" s="6" t="n">
        <v>0</v>
      </c>
      <c r="CC6" s="6" t="n">
        <v>1952.6</v>
      </c>
      <c r="CD6" s="6" t="n">
        <v>0</v>
      </c>
      <c r="CE6" s="6" t="n">
        <v>0</v>
      </c>
      <c r="CF6" s="6" t="n">
        <v>1952.6</v>
      </c>
      <c r="CG6" s="6" t="n">
        <v>2500000</v>
      </c>
      <c r="CH6" s="6" t="n">
        <v>1952600</v>
      </c>
      <c r="CI6" s="6" t="n">
        <v>0</v>
      </c>
      <c r="CJ6" s="6" t="n">
        <v>547400</v>
      </c>
      <c r="CK6" s="6" t="n">
        <v>12.48</v>
      </c>
      <c r="CL6" s="6" t="n">
        <v>9.85</v>
      </c>
      <c r="CM6" s="5" t="inlineStr">
        <is>
          <t>15-Apr-2023</t>
        </is>
      </c>
      <c r="CN6" s="6" t="n">
        <v>7.34</v>
      </c>
      <c r="CO6" s="6" t="n">
        <v>0.08</v>
      </c>
      <c r="CP6" s="6" t="n">
        <v>1.03</v>
      </c>
      <c r="CQ6" s="6" t="n">
        <v>1.11</v>
      </c>
      <c r="CR6" s="6" t="n">
        <v>78.09999999999999</v>
      </c>
      <c r="CS6" s="6" t="n">
        <v>46579.27</v>
      </c>
      <c r="CT6" s="6" t="n">
        <v>14332.08</v>
      </c>
      <c r="CU6" s="6" t="n">
        <v>132571.77</v>
      </c>
      <c r="CV6" s="6" t="n">
        <v>9.91</v>
      </c>
      <c r="CW6" s="6" t="n">
        <v>175734</v>
      </c>
      <c r="CX6" s="6" t="n">
        <v>74198.8</v>
      </c>
      <c r="CY6" s="6" t="n">
        <v>400673.52</v>
      </c>
      <c r="CZ6" s="6" t="n">
        <v>11</v>
      </c>
      <c r="DA6" s="6" t="n">
        <v>62483.2</v>
      </c>
      <c r="DB6" s="6" t="n">
        <v>136682</v>
      </c>
      <c r="DC6" s="6" t="n">
        <v>199165.2</v>
      </c>
      <c r="DD6" s="6" t="n">
        <v>201508.32</v>
      </c>
      <c r="DE6" s="6" t="n">
        <v>20</v>
      </c>
      <c r="DF6" s="6" t="n">
        <v>8</v>
      </c>
      <c r="DG6" s="5" t="inlineStr">
        <is>
          <t>Yes</t>
        </is>
      </c>
      <c r="DH6" s="6" t="n">
        <v>24</v>
      </c>
      <c r="DI6" s="5" t="inlineStr">
        <is>
          <t>01-Apr-2023</t>
        </is>
      </c>
      <c r="DJ6" s="5" t="inlineStr">
        <is>
          <t>15-Apr-2023</t>
        </is>
      </c>
      <c r="DK6" s="5" t="inlineStr">
        <is>
          <t>15-Apr-2025</t>
        </is>
      </c>
      <c r="DL6" s="5" t="inlineStr">
        <is>
          <t>No</t>
        </is>
      </c>
      <c r="DM6" s="5" t="inlineStr">
        <is>
          <t>Quarterly</t>
        </is>
      </c>
      <c r="DN6" s="5" t="inlineStr">
        <is>
          <t>25% of NAV</t>
        </is>
      </c>
      <c r="DO6" s="6" t="n">
        <v>60</v>
      </c>
      <c r="DP6" s="6" t="n">
        <v>6</v>
      </c>
      <c r="DQ6" s="5" t="inlineStr">
        <is>
          <t>No</t>
        </is>
      </c>
      <c r="DR6" s="5" t="inlineStr">
        <is>
          <t>Yes</t>
        </is>
      </c>
      <c r="DS6" s="5" t="inlineStr">
        <is>
          <t>Standard</t>
        </is>
      </c>
      <c r="DT6" s="5" t="inlineStr">
        <is>
          <t>Yes</t>
        </is>
      </c>
      <c r="DU6" s="5" t="inlineStr">
        <is>
          <t>USD</t>
        </is>
      </c>
      <c r="DV6" s="5" t="inlineStr">
        <is>
          <t>Compliant</t>
        </is>
      </c>
      <c r="DW6" s="5" t="inlineStr">
        <is>
          <t>Verified</t>
        </is>
      </c>
      <c r="DX6" s="5" t="inlineStr">
        <is>
          <t>Qualified Institutional Buyer</t>
        </is>
      </c>
      <c r="DY6" s="5" t="inlineStr">
        <is>
          <t>UBS Prime</t>
        </is>
      </c>
      <c r="DZ6" s="5" t="inlineStr">
        <is>
          <t>No</t>
        </is>
      </c>
      <c r="EA6" s="5" t="inlineStr"/>
      <c r="EB6" s="6" t="n">
        <v>2</v>
      </c>
      <c r="EC6" s="6" t="n">
        <v>20</v>
      </c>
      <c r="ED6" s="6" t="n">
        <v>8</v>
      </c>
      <c r="EE6" s="5" t="inlineStr">
        <is>
          <t>Soft Hurdle</t>
        </is>
      </c>
      <c r="EF6" s="6" t="n">
        <v>100</v>
      </c>
      <c r="EG6" s="6" t="n">
        <v>624832</v>
      </c>
      <c r="EH6" s="6" t="n">
        <v>400673.52</v>
      </c>
      <c r="EI6" s="6" t="n">
        <v>0</v>
      </c>
      <c r="EJ6" s="6" t="n">
        <v>0</v>
      </c>
      <c r="EK6" s="6" t="n">
        <v>2146102.65</v>
      </c>
      <c r="EL6" s="5" t="inlineStr">
        <is>
          <t>Tier 2</t>
        </is>
      </c>
    </row>
    <row r="7">
      <c r="A7" s="3" t="inlineStr">
        <is>
          <t>Delta Family Office</t>
        </is>
      </c>
      <c r="B7" s="4" t="n">
        <v>1000</v>
      </c>
      <c r="C7" s="4" t="n">
        <v>0</v>
      </c>
      <c r="D7" s="4" t="n">
        <v>0</v>
      </c>
      <c r="E7" s="4" t="n">
        <v>1000</v>
      </c>
      <c r="F7" s="4" t="n">
        <v>44</v>
      </c>
      <c r="G7" s="4" t="n">
        <v>-2.5</v>
      </c>
      <c r="H7" s="4" t="n">
        <v>26.975</v>
      </c>
      <c r="I7" s="4" t="n">
        <v>8.300000000000001</v>
      </c>
      <c r="J7" s="4" t="n">
        <v>1076.775</v>
      </c>
      <c r="K7" s="4" t="n">
        <v>0</v>
      </c>
      <c r="L7" s="4" t="n">
        <v>0</v>
      </c>
      <c r="M7" s="4" t="n">
        <v>-35.285</v>
      </c>
      <c r="N7" s="4" t="n">
        <v>0</v>
      </c>
      <c r="O7" s="4" t="n">
        <v>1041.5</v>
      </c>
      <c r="P7" s="4" t="n">
        <v>6215800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273495.2</v>
      </c>
      <c r="W7" s="4" t="n">
        <v>-15539.5</v>
      </c>
      <c r="X7" s="4" t="n">
        <v>167671.21</v>
      </c>
      <c r="Y7" s="4" t="n">
        <v>51591.14</v>
      </c>
      <c r="Z7" s="4" t="n">
        <v>6693018.05</v>
      </c>
      <c r="AA7" s="4" t="n">
        <v>0</v>
      </c>
      <c r="AB7" s="4" t="n">
        <v>0</v>
      </c>
      <c r="AC7" s="4" t="n">
        <v>-219324.5</v>
      </c>
      <c r="AD7" s="4" t="n">
        <v>0</v>
      </c>
      <c r="AE7" s="4" t="n">
        <v>6912342.55</v>
      </c>
      <c r="AF7" s="4" t="n">
        <v>6215.8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6215.8</v>
      </c>
      <c r="AM7" s="4" t="n">
        <v>6215800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273495.2</v>
      </c>
      <c r="AT7" s="4" t="n">
        <v>-15539.5</v>
      </c>
      <c r="AU7" s="4" t="n">
        <v>167671.21</v>
      </c>
      <c r="AV7" s="4" t="n">
        <v>51591.14</v>
      </c>
      <c r="AW7" s="4" t="n">
        <v>6693018.05</v>
      </c>
      <c r="AX7" s="4" t="n">
        <v>0</v>
      </c>
      <c r="AY7" s="4" t="n">
        <v>0</v>
      </c>
      <c r="AZ7" s="4" t="n">
        <v>-219324.5</v>
      </c>
      <c r="BA7" s="4" t="n">
        <v>0</v>
      </c>
      <c r="BB7" s="4" t="n">
        <v>6912342.55</v>
      </c>
      <c r="BC7" s="4" t="n">
        <v>6215.8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6215.8</v>
      </c>
      <c r="BJ7" s="4" t="n">
        <v>0</v>
      </c>
      <c r="BK7" s="4" t="n">
        <v>0</v>
      </c>
      <c r="BL7" s="4" t="n">
        <v>0</v>
      </c>
      <c r="BM7" s="4" t="n">
        <v>6215800</v>
      </c>
      <c r="BN7" s="4" t="n">
        <v>55942.2</v>
      </c>
      <c r="BO7" s="4" t="n">
        <v>0</v>
      </c>
      <c r="BP7" s="4" t="n">
        <v>546990.4</v>
      </c>
      <c r="BQ7" s="4" t="n">
        <v>-67130.64</v>
      </c>
      <c r="BR7" s="4" t="n">
        <v>559422</v>
      </c>
      <c r="BS7" s="4" t="n">
        <v>236200.4</v>
      </c>
      <c r="BT7" s="4" t="n">
        <v>7547224.36</v>
      </c>
      <c r="BU7" s="4" t="n">
        <v>745896</v>
      </c>
      <c r="BV7" s="4" t="n">
        <v>0</v>
      </c>
      <c r="BW7" s="4" t="n">
        <v>435106</v>
      </c>
      <c r="BX7" s="4" t="n">
        <v>0</v>
      </c>
      <c r="BY7" s="4" t="n">
        <v>6912342.55</v>
      </c>
      <c r="BZ7" s="4" t="n">
        <v>0</v>
      </c>
      <c r="CA7" s="4" t="n">
        <v>0</v>
      </c>
      <c r="CB7" s="4" t="n">
        <v>0</v>
      </c>
      <c r="CC7" s="4" t="n">
        <v>6215.8</v>
      </c>
      <c r="CD7" s="4" t="n">
        <v>0</v>
      </c>
      <c r="CE7" s="4" t="n">
        <v>0</v>
      </c>
      <c r="CF7" s="4" t="n">
        <v>6215.8</v>
      </c>
      <c r="CG7" s="4" t="n">
        <v>8000000</v>
      </c>
      <c r="CH7" s="4" t="n">
        <v>6215800</v>
      </c>
      <c r="CI7" s="4" t="n">
        <v>0</v>
      </c>
      <c r="CJ7" s="4" t="n">
        <v>1784200</v>
      </c>
      <c r="CK7" s="4" t="n">
        <v>15.92</v>
      </c>
      <c r="CL7" s="4" t="n">
        <v>13.05</v>
      </c>
      <c r="CM7" s="3" t="inlineStr">
        <is>
          <t>01-Oct-2022</t>
        </is>
      </c>
      <c r="CN7" s="4" t="n">
        <v>23.35</v>
      </c>
      <c r="CO7" s="4" t="n">
        <v>0.11</v>
      </c>
      <c r="CP7" s="4" t="n">
        <v>1.04</v>
      </c>
      <c r="CQ7" s="4" t="n">
        <v>1.15</v>
      </c>
      <c r="CR7" s="4" t="n">
        <v>77.7</v>
      </c>
      <c r="CS7" s="4" t="n">
        <v>167671.21</v>
      </c>
      <c r="CT7" s="4" t="n">
        <v>51591.14</v>
      </c>
      <c r="CU7" s="4" t="n">
        <v>477218.05</v>
      </c>
      <c r="CV7" s="4" t="n">
        <v>11.21</v>
      </c>
      <c r="CW7" s="4" t="n">
        <v>559422</v>
      </c>
      <c r="CX7" s="4" t="n">
        <v>236200.4</v>
      </c>
      <c r="CY7" s="4" t="n">
        <v>1275482.16</v>
      </c>
      <c r="CZ7" s="4" t="n">
        <v>15</v>
      </c>
      <c r="DA7" s="4" t="n">
        <v>198905.6</v>
      </c>
      <c r="DB7" s="4" t="n">
        <v>435106</v>
      </c>
      <c r="DC7" s="4" t="n">
        <v>634011.6</v>
      </c>
      <c r="DD7" s="4" t="n">
        <v>641470.5600000001</v>
      </c>
      <c r="DE7" s="4" t="n">
        <v>20</v>
      </c>
      <c r="DF7" s="4" t="n">
        <v>8</v>
      </c>
      <c r="DG7" s="3" t="inlineStr">
        <is>
          <t>No</t>
        </is>
      </c>
      <c r="DH7" s="4" t="n">
        <v>24</v>
      </c>
      <c r="DI7" s="3" t="inlineStr">
        <is>
          <t>15-Sep-2022</t>
        </is>
      </c>
      <c r="DJ7" s="3" t="inlineStr">
        <is>
          <t>01-Oct-2022</t>
        </is>
      </c>
      <c r="DK7" s="3" t="inlineStr">
        <is>
          <t>01-Oct-2024</t>
        </is>
      </c>
      <c r="DL7" s="3" t="inlineStr">
        <is>
          <t>Yes</t>
        </is>
      </c>
      <c r="DM7" s="3" t="inlineStr">
        <is>
          <t>Quarterly</t>
        </is>
      </c>
      <c r="DN7" s="3" t="inlineStr">
        <is>
          <t>25% of NAV</t>
        </is>
      </c>
      <c r="DO7" s="4" t="n">
        <v>60</v>
      </c>
      <c r="DP7" s="4" t="n">
        <v>0</v>
      </c>
      <c r="DQ7" s="3" t="inlineStr">
        <is>
          <t>No</t>
        </is>
      </c>
      <c r="DR7" s="3" t="inlineStr">
        <is>
          <t>Yes</t>
        </is>
      </c>
      <c r="DS7" s="3" t="inlineStr">
        <is>
          <t>Standard</t>
        </is>
      </c>
      <c r="DT7" s="3" t="inlineStr">
        <is>
          <t>Yes</t>
        </is>
      </c>
      <c r="DU7" s="3" t="inlineStr">
        <is>
          <t>USD</t>
        </is>
      </c>
      <c r="DV7" s="3" t="inlineStr">
        <is>
          <t>Pending</t>
        </is>
      </c>
      <c r="DW7" s="3" t="inlineStr">
        <is>
          <t>In Review</t>
        </is>
      </c>
      <c r="DX7" s="3" t="inlineStr">
        <is>
          <t>Qualified Institutional Buyer</t>
        </is>
      </c>
      <c r="DY7" s="3" t="inlineStr">
        <is>
          <t>Deutsche Bank Prime</t>
        </is>
      </c>
      <c r="DZ7" s="3" t="inlineStr">
        <is>
          <t>No</t>
        </is>
      </c>
      <c r="EA7" s="3" t="inlineStr"/>
      <c r="EB7" s="4" t="n">
        <v>2</v>
      </c>
      <c r="EC7" s="4" t="n">
        <v>20</v>
      </c>
      <c r="ED7" s="4" t="n">
        <v>8</v>
      </c>
      <c r="EE7" s="3" t="inlineStr">
        <is>
          <t>Soft Hurdle</t>
        </is>
      </c>
      <c r="EF7" s="4" t="n">
        <v>100</v>
      </c>
      <c r="EG7" s="4" t="n">
        <v>1989056</v>
      </c>
      <c r="EH7" s="4" t="n">
        <v>1275482.16</v>
      </c>
      <c r="EI7" s="4" t="n">
        <v>0</v>
      </c>
      <c r="EJ7" s="4" t="n">
        <v>0</v>
      </c>
      <c r="EK7" s="4" t="n">
        <v>6912342.55</v>
      </c>
      <c r="EL7" s="3" t="inlineStr">
        <is>
          <t>Tier 2</t>
        </is>
      </c>
    </row>
  </sheetData>
  <mergeCells count="12">
    <mergeCell ref="B1:O1"/>
    <mergeCell ref="CG1:CJ1"/>
    <mergeCell ref="DQ1:EA1"/>
    <mergeCell ref="P1:AE1"/>
    <mergeCell ref="BZ1:CF1"/>
    <mergeCell ref="BJ1:BY1"/>
    <mergeCell ref="CK1:DG1"/>
    <mergeCell ref="EB1:EL1"/>
    <mergeCell ref="DH1:DP1"/>
    <mergeCell ref="AM1:BB1"/>
    <mergeCell ref="AF1:AL1"/>
    <mergeCell ref="BC1:B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7" t="inlineStr">
        <is>
          <t>Investor Register  ·  Meridian Opportunities Fund, L.P.</t>
        </is>
      </c>
    </row>
    <row r="4">
      <c r="A4" s="8" t="inlineStr">
        <is>
          <t>Investor Name (Legal)</t>
        </is>
      </c>
      <c r="B4" s="8" t="inlineStr">
        <is>
          <t>Entity Type</t>
        </is>
      </c>
      <c r="C4" s="8" t="inlineStr">
        <is>
          <t>Tax ID / EIN</t>
        </is>
      </c>
      <c r="D4" s="8" t="inlineStr">
        <is>
          <t>Jurisdiction</t>
        </is>
      </c>
      <c r="E4" s="8" t="inlineStr">
        <is>
          <t>Domicile</t>
        </is>
      </c>
      <c r="F4" s="8" t="inlineStr">
        <is>
          <t>Primary Contact</t>
        </is>
      </c>
      <c r="G4" s="8" t="inlineStr">
        <is>
          <t>Email</t>
        </is>
      </c>
      <c r="H4" s="8" t="inlineStr">
        <is>
          <t>Notes / Flags</t>
        </is>
      </c>
    </row>
    <row r="5">
      <c r="A5" s="3" t="inlineStr">
        <is>
          <t>Meridian Partners LP</t>
        </is>
      </c>
      <c r="B5" s="3" t="inlineStr">
        <is>
          <t>Limited Partnership</t>
        </is>
      </c>
      <c r="C5" s="3" t="inlineStr">
        <is>
          <t>82-1234567</t>
        </is>
      </c>
      <c r="D5" s="3" t="inlineStr">
        <is>
          <t>Delaware, USA</t>
        </is>
      </c>
      <c r="E5" s="3" t="inlineStr">
        <is>
          <t>United States</t>
        </is>
      </c>
      <c r="F5" s="3" t="inlineStr">
        <is>
          <t>John Harrison</t>
        </is>
      </c>
      <c r="G5" s="3" t="inlineStr">
        <is>
          <t>jharrison@meridianpartners.com</t>
        </is>
      </c>
      <c r="H5" s="3" t="inlineStr"/>
    </row>
    <row r="6">
      <c r="A6" s="5" t="inlineStr">
        <is>
          <t>Apex Capital Management LLC</t>
        </is>
      </c>
      <c r="B6" s="5" t="inlineStr">
        <is>
          <t>LLC</t>
        </is>
      </c>
      <c r="C6" s="5" t="inlineStr">
        <is>
          <t>47-9876543</t>
        </is>
      </c>
      <c r="D6" s="5" t="inlineStr">
        <is>
          <t>New York, USA</t>
        </is>
      </c>
      <c r="E6" s="5" t="inlineStr">
        <is>
          <t>United States</t>
        </is>
      </c>
      <c r="F6" s="5" t="inlineStr">
        <is>
          <t>Sarah Chen</t>
        </is>
      </c>
      <c r="G6" s="5" t="inlineStr">
        <is>
          <t>schen@apexcap.com</t>
        </is>
      </c>
      <c r="H6" s="5" t="inlineStr"/>
    </row>
    <row r="7">
      <c r="A7" s="3" t="inlineStr">
        <is>
          <t>Blue Ridge Endowment Fund</t>
        </is>
      </c>
      <c r="B7" s="3" t="inlineStr">
        <is>
          <t>Endowment Fund</t>
        </is>
      </c>
      <c r="C7" s="3" t="inlineStr">
        <is>
          <t>31-2468135</t>
        </is>
      </c>
      <c r="D7" s="3" t="inlineStr">
        <is>
          <t>Virginia, USA</t>
        </is>
      </c>
      <c r="E7" s="3" t="inlineStr">
        <is>
          <t>United States</t>
        </is>
      </c>
      <c r="F7" s="3" t="inlineStr">
        <is>
          <t>Robert Miles</t>
        </is>
      </c>
      <c r="G7" s="3" t="inlineStr">
        <is>
          <t>rmiles@blueridgefund.org</t>
        </is>
      </c>
      <c r="H7" s="3" t="inlineStr"/>
    </row>
    <row r="8">
      <c r="A8" s="5" t="inlineStr">
        <is>
          <t>Silverstone Trust</t>
        </is>
      </c>
      <c r="B8" s="5" t="inlineStr">
        <is>
          <t>Irrevocable Trust</t>
        </is>
      </c>
      <c r="C8" s="5" t="inlineStr">
        <is>
          <t>56-1357924</t>
        </is>
      </c>
      <c r="D8" s="5" t="inlineStr">
        <is>
          <t>Cayman Islands</t>
        </is>
      </c>
      <c r="E8" s="5" t="inlineStr">
        <is>
          <t>Cayman Islands</t>
        </is>
      </c>
      <c r="F8" s="5" t="inlineStr">
        <is>
          <t>Emma Lockwood</t>
        </is>
      </c>
      <c r="G8" s="5" t="inlineStr">
        <is>
          <t>elockwood@silverstone.ky</t>
        </is>
      </c>
      <c r="H8" s="5" t="inlineStr"/>
    </row>
    <row r="9">
      <c r="A9" s="3" t="inlineStr">
        <is>
          <t>Delta Family Office</t>
        </is>
      </c>
      <c r="B9" s="3" t="inlineStr">
        <is>
          <t>Family Office</t>
        </is>
      </c>
      <c r="C9" s="3" t="inlineStr">
        <is>
          <t>63-7890123</t>
        </is>
      </c>
      <c r="D9" s="3" t="inlineStr">
        <is>
          <t>New York, USA</t>
        </is>
      </c>
      <c r="E9" s="3" t="inlineStr">
        <is>
          <t>United States</t>
        </is>
      </c>
      <c r="F9" s="3" t="inlineStr">
        <is>
          <t>David Fontaine</t>
        </is>
      </c>
      <c r="G9" s="3" t="inlineStr">
        <is>
          <t>dfontaine@deltafo.com</t>
        </is>
      </c>
      <c r="H9" s="3" t="inlineStr">
        <is>
          <t>AML/KYC under review — hold capital calls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7" t="inlineStr">
        <is>
          <t>Cash Flow Ledger  ·  Meridian Opportunities Fund, L.P.</t>
        </is>
      </c>
    </row>
    <row r="4">
      <c r="A4" s="8" t="inlineStr">
        <is>
          <t>Transaction ID</t>
        </is>
      </c>
      <c r="B4" s="8" t="inlineStr">
        <is>
          <t>Investor Name</t>
        </is>
      </c>
      <c r="C4" s="8" t="inlineStr">
        <is>
          <t>Date</t>
        </is>
      </c>
      <c r="D4" s="8" t="inlineStr">
        <is>
          <t>Quarter</t>
        </is>
      </c>
      <c r="E4" s="8" t="inlineStr">
        <is>
          <t>Type</t>
        </is>
      </c>
      <c r="F4" s="8" t="inlineStr">
        <is>
          <t>Sub-Type</t>
        </is>
      </c>
      <c r="G4" s="8" t="inlineStr">
        <is>
          <t>Amount</t>
        </is>
      </c>
      <c r="H4" s="8" t="inlineStr">
        <is>
          <t>Units</t>
        </is>
      </c>
      <c r="I4" s="8" t="inlineStr">
        <is>
          <t>Unit Price</t>
        </is>
      </c>
      <c r="J4" s="8" t="inlineStr">
        <is>
          <t>Running Balance</t>
        </is>
      </c>
      <c r="K4" s="8" t="inlineStr">
        <is>
          <t>Status</t>
        </is>
      </c>
      <c r="L4" s="8" t="inlineStr">
        <is>
          <t>Notes</t>
        </is>
      </c>
    </row>
    <row r="5">
      <c r="A5" s="3" t="inlineStr">
        <is>
          <t>TX-001</t>
        </is>
      </c>
      <c r="B5" s="3" t="inlineStr">
        <is>
          <t>Meridian Partners LP</t>
        </is>
      </c>
      <c r="C5" s="3" t="inlineStr">
        <is>
          <t>2022-01-15</t>
        </is>
      </c>
      <c r="D5" s="3" t="inlineStr">
        <is>
          <t>Q1 2022</t>
        </is>
      </c>
      <c r="E5" s="3" t="inlineStr">
        <is>
          <t>Contribution</t>
        </is>
      </c>
      <c r="F5" s="3" t="inlineStr">
        <is>
          <t>Initial</t>
        </is>
      </c>
      <c r="G5" s="4" t="n">
        <v>4856320</v>
      </c>
      <c r="H5" s="4" t="n">
        <v>4856.32</v>
      </c>
      <c r="I5" s="4" t="n">
        <v>1000</v>
      </c>
      <c r="J5" s="4" t="n">
        <v>4856320</v>
      </c>
      <c r="K5" s="3" t="inlineStr">
        <is>
          <t>Posted</t>
        </is>
      </c>
      <c r="L5" s="3" t="inlineStr">
        <is>
          <t>Initial capital call</t>
        </is>
      </c>
    </row>
    <row r="6">
      <c r="A6" s="5" t="inlineStr">
        <is>
          <t>TX-002</t>
        </is>
      </c>
      <c r="B6" s="5" t="inlineStr">
        <is>
          <t>Meridian Partners LP</t>
        </is>
      </c>
      <c r="C6" s="5" t="inlineStr">
        <is>
          <t>2022-12-31</t>
        </is>
      </c>
      <c r="D6" s="5" t="inlineStr">
        <is>
          <t>Q4 2022</t>
        </is>
      </c>
      <c r="E6" s="5" t="inlineStr">
        <is>
          <t>Distribution</t>
        </is>
      </c>
      <c r="F6" s="5" t="inlineStr">
        <is>
          <t>Income</t>
        </is>
      </c>
      <c r="G6" s="6" t="n">
        <v>-200000</v>
      </c>
      <c r="H6" s="6" t="n">
        <v>-200</v>
      </c>
      <c r="I6" s="6" t="n">
        <v>1000</v>
      </c>
      <c r="J6" s="6" t="n">
        <v>4656320</v>
      </c>
      <c r="K6" s="5" t="inlineStr">
        <is>
          <t>Posted</t>
        </is>
      </c>
      <c r="L6" s="5" t="inlineStr">
        <is>
          <t>Q4 income distribution</t>
        </is>
      </c>
    </row>
    <row r="7">
      <c r="A7" s="3" t="inlineStr">
        <is>
          <t>TX-003</t>
        </is>
      </c>
      <c r="B7" s="3" t="inlineStr">
        <is>
          <t>Meridian Partners LP</t>
        </is>
      </c>
      <c r="C7" s="3" t="inlineStr">
        <is>
          <t>2024-06-30</t>
        </is>
      </c>
      <c r="D7" s="3" t="inlineStr">
        <is>
          <t>Q2 2024</t>
        </is>
      </c>
      <c r="E7" s="3" t="inlineStr">
        <is>
          <t>Distribution</t>
        </is>
      </c>
      <c r="F7" s="3" t="inlineStr">
        <is>
          <t>Return</t>
        </is>
      </c>
      <c r="G7" s="4" t="n">
        <v>-380000</v>
      </c>
      <c r="H7" s="4" t="n">
        <v>-360</v>
      </c>
      <c r="I7" s="4" t="n">
        <v>1055.56</v>
      </c>
      <c r="J7" s="4" t="n">
        <v>5050552.3</v>
      </c>
      <c r="K7" s="3" t="inlineStr">
        <is>
          <t>Posted</t>
        </is>
      </c>
      <c r="L7" s="3" t="inlineStr">
        <is>
          <t>Capital return distribution</t>
        </is>
      </c>
    </row>
    <row r="8">
      <c r="A8" s="5" t="inlineStr">
        <is>
          <t>TX-004</t>
        </is>
      </c>
      <c r="B8" s="5" t="inlineStr">
        <is>
          <t>Apex Capital Management LLC</t>
        </is>
      </c>
      <c r="C8" s="5" t="inlineStr">
        <is>
          <t>2021-07-01</t>
        </is>
      </c>
      <c r="D8" s="5" t="inlineStr">
        <is>
          <t>Q3 2021</t>
        </is>
      </c>
      <c r="E8" s="5" t="inlineStr">
        <is>
          <t>Contribution</t>
        </is>
      </c>
      <c r="F8" s="5" t="inlineStr">
        <is>
          <t>Initial</t>
        </is>
      </c>
      <c r="G8" s="6" t="n">
        <v>3121400</v>
      </c>
      <c r="H8" s="6" t="n">
        <v>3121.4</v>
      </c>
      <c r="I8" s="6" t="n">
        <v>1000</v>
      </c>
      <c r="J8" s="6" t="n">
        <v>3121400</v>
      </c>
      <c r="K8" s="5" t="inlineStr">
        <is>
          <t>Posted</t>
        </is>
      </c>
      <c r="L8" s="5" t="inlineStr">
        <is>
          <t>Initial capital call</t>
        </is>
      </c>
    </row>
    <row r="9">
      <c r="A9" s="3" t="inlineStr">
        <is>
          <t>TX-005</t>
        </is>
      </c>
      <c r="B9" s="3" t="inlineStr">
        <is>
          <t>Apex Capital Management LLC</t>
        </is>
      </c>
      <c r="C9" s="3" t="inlineStr">
        <is>
          <t>2023-03-31</t>
        </is>
      </c>
      <c r="D9" s="3" t="inlineStr">
        <is>
          <t>Q1 2023</t>
        </is>
      </c>
      <c r="E9" s="3" t="inlineStr">
        <is>
          <t>Distribution</t>
        </is>
      </c>
      <c r="F9" s="3" t="inlineStr">
        <is>
          <t>Income</t>
        </is>
      </c>
      <c r="G9" s="4" t="n">
        <v>-120000</v>
      </c>
      <c r="H9" s="4" t="n">
        <v>-115</v>
      </c>
      <c r="I9" s="4" t="n">
        <v>1043.48</v>
      </c>
      <c r="J9" s="4" t="n">
        <v>3001400</v>
      </c>
      <c r="K9" s="3" t="inlineStr">
        <is>
          <t>Posted</t>
        </is>
      </c>
      <c r="L9" s="3" t="inlineStr">
        <is>
          <t>Q1 2023 income distribution</t>
        </is>
      </c>
    </row>
    <row r="10">
      <c r="A10" s="5" t="inlineStr">
        <is>
          <t>TX-006</t>
        </is>
      </c>
      <c r="B10" s="5" t="inlineStr">
        <is>
          <t>Blue Ridge Endowment Fund</t>
        </is>
      </c>
      <c r="C10" s="5" t="inlineStr">
        <is>
          <t>2020-10-01</t>
        </is>
      </c>
      <c r="D10" s="5" t="inlineStr">
        <is>
          <t>Q4 2020</t>
        </is>
      </c>
      <c r="E10" s="5" t="inlineStr">
        <is>
          <t>Contribution</t>
        </is>
      </c>
      <c r="F10" s="5" t="inlineStr">
        <is>
          <t>Initial</t>
        </is>
      </c>
      <c r="G10" s="6" t="n">
        <v>8432100</v>
      </c>
      <c r="H10" s="6" t="n">
        <v>8432.1</v>
      </c>
      <c r="I10" s="6" t="n">
        <v>1000</v>
      </c>
      <c r="J10" s="6" t="n">
        <v>8432100</v>
      </c>
      <c r="K10" s="5" t="inlineStr">
        <is>
          <t>Posted</t>
        </is>
      </c>
      <c r="L10" s="5" t="inlineStr">
        <is>
          <t>Initial capital call</t>
        </is>
      </c>
    </row>
    <row r="11">
      <c r="A11" s="3" t="inlineStr">
        <is>
          <t>TX-007</t>
        </is>
      </c>
      <c r="B11" s="3" t="inlineStr">
        <is>
          <t>Blue Ridge Endowment Fund</t>
        </is>
      </c>
      <c r="C11" s="3" t="inlineStr">
        <is>
          <t>2022-03-31</t>
        </is>
      </c>
      <c r="D11" s="3" t="inlineStr">
        <is>
          <t>Q1 2022</t>
        </is>
      </c>
      <c r="E11" s="3" t="inlineStr">
        <is>
          <t>Contribution</t>
        </is>
      </c>
      <c r="F11" s="3" t="inlineStr">
        <is>
          <t>Tranche</t>
        </is>
      </c>
      <c r="G11" s="4" t="n">
        <v>500000</v>
      </c>
      <c r="H11" s="4" t="n">
        <v>476.19</v>
      </c>
      <c r="I11" s="4" t="n">
        <v>1050</v>
      </c>
      <c r="J11" s="4" t="n">
        <v>8932100</v>
      </c>
      <c r="K11" s="3" t="inlineStr">
        <is>
          <t>Posted</t>
        </is>
      </c>
      <c r="L11" s="3" t="inlineStr">
        <is>
          <t>Second tranche</t>
        </is>
      </c>
    </row>
    <row r="12">
      <c r="A12" s="5" t="inlineStr">
        <is>
          <t>TX-008</t>
        </is>
      </c>
      <c r="B12" s="5" t="inlineStr">
        <is>
          <t>Blue Ridge Endowment Fund</t>
        </is>
      </c>
      <c r="C12" s="5" t="inlineStr">
        <is>
          <t>2024-09-30</t>
        </is>
      </c>
      <c r="D12" s="5" t="inlineStr">
        <is>
          <t>Q3 2024</t>
        </is>
      </c>
      <c r="E12" s="5" t="inlineStr">
        <is>
          <t>Distribution</t>
        </is>
      </c>
      <c r="F12" s="5" t="inlineStr">
        <is>
          <t>Return</t>
        </is>
      </c>
      <c r="G12" s="6" t="n">
        <v>-600000</v>
      </c>
      <c r="H12" s="6" t="n">
        <v>-563.38</v>
      </c>
      <c r="I12" s="6" t="n">
        <v>1065.38</v>
      </c>
      <c r="J12" s="6" t="n">
        <v>8332100</v>
      </c>
      <c r="K12" s="5" t="inlineStr">
        <is>
          <t>Posted</t>
        </is>
      </c>
      <c r="L12" s="5" t="inlineStr">
        <is>
          <t>Capital return</t>
        </is>
      </c>
    </row>
    <row r="13">
      <c r="A13" s="3" t="inlineStr">
        <is>
          <t>TX-009</t>
        </is>
      </c>
      <c r="B13" s="3" t="inlineStr">
        <is>
          <t>Silverstone Trust</t>
        </is>
      </c>
      <c r="C13" s="3" t="inlineStr">
        <is>
          <t>2023-04-15</t>
        </is>
      </c>
      <c r="D13" s="3" t="inlineStr">
        <is>
          <t>Q2 2023</t>
        </is>
      </c>
      <c r="E13" s="3" t="inlineStr">
        <is>
          <t>Contribution</t>
        </is>
      </c>
      <c r="F13" s="3" t="inlineStr">
        <is>
          <t>Initial</t>
        </is>
      </c>
      <c r="G13" s="4" t="n">
        <v>1952600</v>
      </c>
      <c r="H13" s="4" t="n">
        <v>1952.6</v>
      </c>
      <c r="I13" s="4" t="n">
        <v>1000</v>
      </c>
      <c r="J13" s="4" t="n">
        <v>1952600</v>
      </c>
      <c r="K13" s="3" t="inlineStr">
        <is>
          <t>Posted</t>
        </is>
      </c>
      <c r="L13" s="3" t="inlineStr">
        <is>
          <t>Initial capital call</t>
        </is>
      </c>
    </row>
    <row r="14">
      <c r="A14" s="5" t="inlineStr">
        <is>
          <t>TX-010</t>
        </is>
      </c>
      <c r="B14" s="5" t="inlineStr">
        <is>
          <t>Delta Family Office</t>
        </is>
      </c>
      <c r="C14" s="5" t="inlineStr">
        <is>
          <t>2022-10-01</t>
        </is>
      </c>
      <c r="D14" s="5" t="inlineStr">
        <is>
          <t>Q4 2022</t>
        </is>
      </c>
      <c r="E14" s="5" t="inlineStr">
        <is>
          <t>Contribution</t>
        </is>
      </c>
      <c r="F14" s="5" t="inlineStr">
        <is>
          <t>Initial</t>
        </is>
      </c>
      <c r="G14" s="6" t="n">
        <v>6215800</v>
      </c>
      <c r="H14" s="6" t="n">
        <v>6215.8</v>
      </c>
      <c r="I14" s="6" t="n">
        <v>1000</v>
      </c>
      <c r="J14" s="6" t="n">
        <v>6215800</v>
      </c>
      <c r="K14" s="5" t="inlineStr">
        <is>
          <t>Posted</t>
        </is>
      </c>
      <c r="L14" s="5" t="inlineStr">
        <is>
          <t>Initial capital call</t>
        </is>
      </c>
    </row>
    <row r="15">
      <c r="A15" s="3" t="inlineStr">
        <is>
          <t>TX-011</t>
        </is>
      </c>
      <c r="B15" s="3" t="inlineStr">
        <is>
          <t>Delta Family Office</t>
        </is>
      </c>
      <c r="C15" s="3" t="inlineStr">
        <is>
          <t>2023-12-31</t>
        </is>
      </c>
      <c r="D15" s="3" t="inlineStr">
        <is>
          <t>Q4 2023</t>
        </is>
      </c>
      <c r="E15" s="3" t="inlineStr">
        <is>
          <t>Distribution</t>
        </is>
      </c>
      <c r="F15" s="3" t="inlineStr">
        <is>
          <t>Income</t>
        </is>
      </c>
      <c r="G15" s="4" t="n">
        <v>-250000</v>
      </c>
      <c r="H15" s="4" t="n">
        <v>-237.53</v>
      </c>
      <c r="I15" s="4" t="n">
        <v>1052.5</v>
      </c>
      <c r="J15" s="4" t="n">
        <v>5965800</v>
      </c>
      <c r="K15" s="3" t="inlineStr">
        <is>
          <t>Posted</t>
        </is>
      </c>
      <c r="L15" s="3" t="inlineStr">
        <is>
          <t>Q4 2023 income distribution</t>
        </is>
      </c>
    </row>
    <row r="16">
      <c r="A16" s="5" t="inlineStr">
        <is>
          <t>TX-012</t>
        </is>
      </c>
      <c r="B16" s="5" t="inlineStr">
        <is>
          <t>Meridian Partners LP</t>
        </is>
      </c>
      <c r="C16" s="5" t="inlineStr">
        <is>
          <t>2024-03-31</t>
        </is>
      </c>
      <c r="D16" s="5" t="inlineStr">
        <is>
          <t>Q1 2024</t>
        </is>
      </c>
      <c r="E16" s="5" t="inlineStr">
        <is>
          <t>DRIP</t>
        </is>
      </c>
      <c r="F16" s="5" t="inlineStr"/>
      <c r="G16" s="6" t="n">
        <v>45200</v>
      </c>
      <c r="H16" s="6" t="n">
        <v>43.81</v>
      </c>
      <c r="I16" s="6" t="n">
        <v>1031.87</v>
      </c>
      <c r="J16" s="6" t="n">
        <v>5095752.3</v>
      </c>
      <c r="K16" s="5" t="inlineStr">
        <is>
          <t>Posted</t>
        </is>
      </c>
      <c r="L16" s="5" t="inlineStr">
        <is>
          <t>DRIP reinvestment</t>
        </is>
      </c>
    </row>
    <row r="17">
      <c r="A17" s="3" t="inlineStr">
        <is>
          <t>TX-013</t>
        </is>
      </c>
      <c r="B17" s="3" t="inlineStr">
        <is>
          <t>Blue Ridge Endowment Fund</t>
        </is>
      </c>
      <c r="C17" s="3" t="inlineStr">
        <is>
          <t>2023-06-30</t>
        </is>
      </c>
      <c r="D17" s="3" t="inlineStr">
        <is>
          <t>Q2 2023</t>
        </is>
      </c>
      <c r="E17" s="3" t="inlineStr">
        <is>
          <t>DRIP</t>
        </is>
      </c>
      <c r="F17" s="3" t="inlineStr"/>
      <c r="G17" s="4" t="n">
        <v>62400</v>
      </c>
      <c r="H17" s="4" t="n">
        <v>59.43</v>
      </c>
      <c r="I17" s="4" t="n">
        <v>1049.93</v>
      </c>
      <c r="J17" s="4" t="n">
        <v>8394500</v>
      </c>
      <c r="K17" s="3" t="inlineStr">
        <is>
          <t>Posted</t>
        </is>
      </c>
      <c r="L17" s="3" t="inlineStr">
        <is>
          <t>DRIP reinvestment</t>
        </is>
      </c>
    </row>
  </sheetData>
  <autoFilter ref="A4:L4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2" customHeight="1">
      <c r="A1" s="7" t="inlineStr">
        <is>
          <t>Waterfall Distribution Analysis  ·  Meridian Opportunities Fund, L.P.  ·  Q1 2026</t>
        </is>
      </c>
    </row>
    <row r="4">
      <c r="A4" s="9" t="inlineStr">
        <is>
          <t>Investor Name</t>
        </is>
      </c>
      <c r="B4" s="9" t="inlineStr">
        <is>
          <t>Capital Contrib ITD</t>
        </is>
      </c>
      <c r="C4" s="9" t="inlineStr">
        <is>
          <t>Hurdle Rate (%)</t>
        </is>
      </c>
      <c r="D4" s="9" t="inlineStr">
        <is>
          <t>Hurdle Amount</t>
        </is>
      </c>
      <c r="E4" s="9" t="inlineStr">
        <is>
          <t>Mgmt Fee (ITD)</t>
        </is>
      </c>
      <c r="F4" s="9" t="inlineStr">
        <is>
          <t>Gross P&amp;L</t>
        </is>
      </c>
      <c r="G4" s="9" t="inlineStr">
        <is>
          <t>Net P&amp;L</t>
        </is>
      </c>
      <c r="H4" s="9" t="inlineStr">
        <is>
          <t>Excess Over Hurdle</t>
        </is>
      </c>
      <c r="I4" s="9" t="inlineStr">
        <is>
          <t>GP Catch-Up</t>
        </is>
      </c>
      <c r="J4" s="9" t="inlineStr">
        <is>
          <t>LP Preferred Return</t>
        </is>
      </c>
      <c r="K4" s="9" t="inlineStr">
        <is>
          <t>LP Carry Share</t>
        </is>
      </c>
      <c r="L4" s="9" t="inlineStr">
        <is>
          <t>LP Net Allocation</t>
        </is>
      </c>
      <c r="M4" s="9" t="inlineStr">
        <is>
          <t>Ending Capital</t>
        </is>
      </c>
    </row>
    <row r="5">
      <c r="A5" s="3" t="inlineStr">
        <is>
          <t>Meridian Partners LP</t>
        </is>
      </c>
      <c r="B5" s="4" t="n">
        <v>4856320</v>
      </c>
      <c r="C5" s="4" t="n">
        <v>8</v>
      </c>
      <c r="D5" s="4" t="n">
        <v>1554022.4</v>
      </c>
      <c r="E5" s="4" t="n">
        <v>155402.24</v>
      </c>
      <c r="F5" s="4" t="n">
        <v>996516.86</v>
      </c>
      <c r="G5" s="4" t="n">
        <v>841114.62</v>
      </c>
      <c r="H5" s="4" t="n">
        <v>0</v>
      </c>
      <c r="I5" s="4" t="n">
        <v>0</v>
      </c>
      <c r="J5" s="4" t="n">
        <v>1554022.4</v>
      </c>
      <c r="K5" s="4" t="n">
        <v>0</v>
      </c>
      <c r="L5" s="4" t="n">
        <v>5382162.33</v>
      </c>
      <c r="M5" s="4" t="n">
        <v>5382162.33</v>
      </c>
    </row>
    <row r="6">
      <c r="A6" s="5" t="inlineStr">
        <is>
          <t>Apex Capital Management LLC</t>
        </is>
      </c>
      <c r="B6" s="6" t="n">
        <v>3121400</v>
      </c>
      <c r="C6" s="6" t="n">
        <v>8</v>
      </c>
      <c r="D6" s="6" t="n">
        <v>998848</v>
      </c>
      <c r="E6" s="6" t="n">
        <v>99884.8</v>
      </c>
      <c r="F6" s="6" t="n">
        <v>640511.28</v>
      </c>
      <c r="G6" s="6" t="n">
        <v>540626.48</v>
      </c>
      <c r="H6" s="6" t="n">
        <v>0</v>
      </c>
      <c r="I6" s="6" t="n">
        <v>0</v>
      </c>
      <c r="J6" s="6" t="n">
        <v>998848</v>
      </c>
      <c r="K6" s="6" t="n">
        <v>0</v>
      </c>
      <c r="L6" s="6" t="n">
        <v>3477926.3</v>
      </c>
      <c r="M6" s="6" t="n">
        <v>3477926.3</v>
      </c>
    </row>
    <row r="7">
      <c r="A7" s="3" t="inlineStr">
        <is>
          <t>Blue Ridge Endowment Fund</t>
        </is>
      </c>
      <c r="B7" s="4" t="n">
        <v>8432100</v>
      </c>
      <c r="C7" s="4" t="n">
        <v>8</v>
      </c>
      <c r="D7" s="4" t="n">
        <v>2698272</v>
      </c>
      <c r="E7" s="4" t="n">
        <v>269827.2</v>
      </c>
      <c r="F7" s="4" t="n">
        <v>1730266.92</v>
      </c>
      <c r="G7" s="4" t="n">
        <v>1460439.72</v>
      </c>
      <c r="H7" s="4" t="n">
        <v>0</v>
      </c>
      <c r="I7" s="4" t="n">
        <v>0</v>
      </c>
      <c r="J7" s="4" t="n">
        <v>2698272</v>
      </c>
      <c r="K7" s="4" t="n">
        <v>0</v>
      </c>
      <c r="L7" s="4" t="n">
        <v>9317807.789999999</v>
      </c>
      <c r="M7" s="4" t="n">
        <v>9317807.789999999</v>
      </c>
    </row>
    <row r="8">
      <c r="A8" s="5" t="inlineStr">
        <is>
          <t>Silverstone Trust</t>
        </is>
      </c>
      <c r="B8" s="6" t="n">
        <v>1952600</v>
      </c>
      <c r="C8" s="6" t="n">
        <v>8</v>
      </c>
      <c r="D8" s="6" t="n">
        <v>624832</v>
      </c>
      <c r="E8" s="6" t="n">
        <v>62483.2</v>
      </c>
      <c r="F8" s="6" t="n">
        <v>400673.52</v>
      </c>
      <c r="G8" s="6" t="n">
        <v>338190.32</v>
      </c>
      <c r="H8" s="6" t="n">
        <v>0</v>
      </c>
      <c r="I8" s="6" t="n">
        <v>0</v>
      </c>
      <c r="J8" s="6" t="n">
        <v>624832</v>
      </c>
      <c r="K8" s="6" t="n">
        <v>0</v>
      </c>
      <c r="L8" s="6" t="n">
        <v>2146102.65</v>
      </c>
      <c r="M8" s="6" t="n">
        <v>2146102.65</v>
      </c>
    </row>
    <row r="9">
      <c r="A9" s="3" t="inlineStr">
        <is>
          <t>Delta Family Office</t>
        </is>
      </c>
      <c r="B9" s="4" t="n">
        <v>6215800</v>
      </c>
      <c r="C9" s="4" t="n">
        <v>8</v>
      </c>
      <c r="D9" s="4" t="n">
        <v>1989056</v>
      </c>
      <c r="E9" s="4" t="n">
        <v>198905.6</v>
      </c>
      <c r="F9" s="4" t="n">
        <v>1275482.16</v>
      </c>
      <c r="G9" s="4" t="n">
        <v>1076576.56</v>
      </c>
      <c r="H9" s="4" t="n">
        <v>0</v>
      </c>
      <c r="I9" s="4" t="n">
        <v>0</v>
      </c>
      <c r="J9" s="4" t="n">
        <v>1989056</v>
      </c>
      <c r="K9" s="4" t="n">
        <v>0</v>
      </c>
      <c r="L9" s="4" t="n">
        <v>6912342.55</v>
      </c>
      <c r="M9" s="4" t="n">
        <v>6912342.55</v>
      </c>
    </row>
    <row r="10">
      <c r="A10" s="10" t="inlineStr">
        <is>
          <t>TOTAL</t>
        </is>
      </c>
      <c r="B10" s="11">
        <f>SUM(B5:B9)</f>
        <v/>
      </c>
      <c r="C10" s="11">
        <f>SUM(C5:C9)</f>
        <v/>
      </c>
      <c r="D10" s="11">
        <f>SUM(D5:D9)</f>
        <v/>
      </c>
      <c r="E10" s="11">
        <f>SUM(E5:E9)</f>
        <v/>
      </c>
      <c r="F10" s="11">
        <f>SUM(F5:F9)</f>
        <v/>
      </c>
      <c r="G10" s="11">
        <f>SUM(G5:G9)</f>
        <v/>
      </c>
      <c r="H10" s="11">
        <f>SUM(H5:H9)</f>
        <v/>
      </c>
      <c r="I10" s="11">
        <f>SUM(I5:I9)</f>
        <v/>
      </c>
      <c r="J10" s="11">
        <f>SUM(J5:J9)</f>
        <v/>
      </c>
      <c r="K10" s="11">
        <f>SUM(K5:K9)</f>
        <v/>
      </c>
      <c r="L10" s="11">
        <f>SUM(L5:L9)</f>
        <v/>
      </c>
      <c r="M10" s="11">
        <f>SUM(M5:M9)</f>
        <v/>
      </c>
    </row>
    <row r="13">
      <c r="A13" s="12" t="inlineStr">
        <is>
          <t>Waterfall Calculation Steps</t>
        </is>
      </c>
    </row>
    <row r="14">
      <c r="A14" s="13" t="inlineStr">
        <is>
          <t>Step</t>
        </is>
      </c>
      <c r="B14" s="13" t="inlineStr">
        <is>
          <t>Description</t>
        </is>
      </c>
      <c r="C14" s="13" t="inlineStr">
        <is>
          <t>Amount ($)</t>
        </is>
      </c>
    </row>
    <row r="15">
      <c r="A15" s="14" t="inlineStr">
        <is>
          <t>1</t>
        </is>
      </c>
      <c r="B15" s="14" t="inlineStr">
        <is>
          <t>Gross P&amp;L (Before Fees)</t>
        </is>
      </c>
      <c r="C15" s="14" t="n">
        <v>5043450.74</v>
      </c>
    </row>
    <row r="16">
      <c r="A16" s="15" t="inlineStr">
        <is>
          <t>1</t>
        </is>
      </c>
      <c r="B16" s="15" t="inlineStr">
        <is>
          <t>Management Fee (Cost)</t>
        </is>
      </c>
      <c r="C16" s="15" t="n">
        <v>-786503.04</v>
      </c>
    </row>
    <row r="17">
      <c r="A17" s="14" t="inlineStr">
        <is>
          <t>1</t>
        </is>
      </c>
      <c r="B17" s="14" t="inlineStr">
        <is>
          <t>Net P&amp;L (After Mgmt Fee)</t>
        </is>
      </c>
      <c r="C17" s="14" t="n">
        <v>4256947.7</v>
      </c>
    </row>
    <row r="18">
      <c r="A18" s="15" t="inlineStr">
        <is>
          <t>2</t>
        </is>
      </c>
      <c r="B18" s="15" t="inlineStr">
        <is>
          <t>Hurdle Amount (8% p.a.)</t>
        </is>
      </c>
      <c r="C18" s="15" t="n">
        <v>7865030.4</v>
      </c>
    </row>
    <row r="19">
      <c r="A19" s="14" t="inlineStr">
        <is>
          <t>2</t>
        </is>
      </c>
      <c r="B19" s="14" t="inlineStr">
        <is>
          <t>LP Preferred Return</t>
        </is>
      </c>
      <c r="C19" s="14" t="n">
        <v>7865030.4</v>
      </c>
    </row>
    <row r="20">
      <c r="A20" s="15" t="inlineStr">
        <is>
          <t>3</t>
        </is>
      </c>
      <c r="B20" s="15" t="inlineStr">
        <is>
          <t>GP Catch-Up (20%)</t>
        </is>
      </c>
      <c r="C20" s="15" t="n">
        <v>0</v>
      </c>
    </row>
    <row r="21">
      <c r="A21" s="14" t="inlineStr">
        <is>
          <t>4</t>
        </is>
      </c>
      <c r="B21" s="14" t="inlineStr">
        <is>
          <t>LP Carry Share</t>
        </is>
      </c>
      <c r="C21" s="14" t="n">
        <v>0</v>
      </c>
    </row>
    <row r="22">
      <c r="A22" s="15" t="inlineStr">
        <is>
          <t>—</t>
        </is>
      </c>
      <c r="B22" s="15" t="inlineStr">
        <is>
          <t>LP Net Waterfall Allocation</t>
        </is>
      </c>
      <c r="C22" s="15" t="n">
        <v>27236341.62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2026-05-29T07:26:58Z</dcterms:created>
  <dcterms:modified xmlns:dcterms="http://purl.org/dc/terms/" xmlns:xsi="http://www.w3.org/2001/XMLSchema-instance" xsi:type="dcterms:W3CDTF">2026-05-29T07:26:58Z</dcterms:modified>
</cp:coreProperties>
</file>